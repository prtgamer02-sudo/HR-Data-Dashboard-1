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welcome\Desktop\"/>
    </mc:Choice>
  </mc:AlternateContent>
  <xr:revisionPtr revIDLastSave="0" documentId="8_{28780CA4-E73D-4122-97B4-173B1EC020FF}" xr6:coauthVersionLast="47" xr6:coauthVersionMax="47" xr10:uidLastSave="{00000000-0000-0000-0000-000000000000}"/>
  <bookViews>
    <workbookView xWindow="-120" yWindow="-120" windowWidth="20640" windowHeight="11160" firstSheet="6" activeTab="8" xr2:uid="{00000000-000D-0000-FFFF-FFFF00000000}"/>
  </bookViews>
  <sheets>
    <sheet name="KPI" sheetId="6" r:id="rId1"/>
    <sheet name="RATING " sheetId="11" r:id="rId2"/>
    <sheet name="gender " sheetId="13" r:id="rId3"/>
    <sheet name="EDUCATION BY ATTRITION " sheetId="14" r:id="rId4"/>
    <sheet name="ATTRITION BY JOB " sheetId="15" r:id="rId5"/>
    <sheet name="DEPARTMENT WISE ATTRITION" sheetId="16" r:id="rId6"/>
    <sheet name="ATTRITION BY AGE GROUP" sheetId="17" r:id="rId7"/>
    <sheet name="HR DATA PROJECT " sheetId="3" r:id="rId8"/>
    <sheet name="DASHBOARD" sheetId="9" r:id="rId9"/>
  </sheets>
  <definedNames>
    <definedName name="_xlchart.v1.0" hidden="1">'ATTRITION BY JOB '!$D$5:$D$14</definedName>
    <definedName name="_xlchart.v1.1" hidden="1">'ATTRITION BY JOB '!$E$4</definedName>
    <definedName name="_xlchart.v1.10" hidden="1">'ATTRITION BY JOB '!$E$4</definedName>
    <definedName name="_xlchart.v1.11" hidden="1">'ATTRITION BY JOB '!$E$5:$E$14</definedName>
    <definedName name="_xlchart.v1.2" hidden="1">'ATTRITION BY JOB '!$E$5:$E$14</definedName>
    <definedName name="_xlchart.v1.3" hidden="1">'ATTRITION BY JOB '!$D$5:$D$14</definedName>
    <definedName name="_xlchart.v1.4" hidden="1">'ATTRITION BY JOB '!$E$4</definedName>
    <definedName name="_xlchart.v1.5" hidden="1">'ATTRITION BY JOB '!$E$5:$E$14</definedName>
    <definedName name="_xlchart.v1.9" hidden="1">'ATTRITION BY JOB '!$D$5:$D$14</definedName>
    <definedName name="_xlchart.v2.12" hidden="1">'ATTRITION BY AGE GROUP'!$D$24:$D$26</definedName>
    <definedName name="_xlchart.v2.13" hidden="1">'ATTRITION BY AGE GROUP'!$E$23</definedName>
    <definedName name="_xlchart.v2.14" hidden="1">'ATTRITION BY AGE GROUP'!$E$24:$E$26</definedName>
    <definedName name="_xlchart.v2.6" hidden="1">'ATTRITION BY AGE GROUP'!$D$24:$D$26</definedName>
    <definedName name="_xlchart.v2.7" hidden="1">'ATTRITION BY AGE GROUP'!$E$23</definedName>
    <definedName name="_xlchart.v2.8" hidden="1">'ATTRITION BY AGE GROUP'!$E$24:$E$26</definedName>
    <definedName name="_xlcn.WorksheetConnection_PROJECTDASHBOARDONGOING.xlsxTable1_21" hidden="1">Table1_2[]</definedName>
    <definedName name="_xlcn.WorksheetConnection_PROJECTDASHBOARDONGOING.xlsxTable11" hidden="1">Table1</definedName>
    <definedName name="ExternalData_1" localSheetId="7" hidden="1">'HR DATA PROJECT '!$A$1:$W$1001</definedName>
    <definedName name="Slicer_Department">#N/A</definedName>
    <definedName name="Slicer_Education_Field1">#N/A</definedName>
    <definedName name="Slicer_Education_Field2">#N/A</definedName>
    <definedName name="Slicer_Gender">#N/A</definedName>
    <definedName name="Slicer_Gender1">#N/A</definedName>
    <definedName name="Slicer_Gender2">#N/A</definedName>
  </definedNames>
  <calcPr calcId="191029"/>
  <pivotCaches>
    <pivotCache cacheId="31" r:id="rId10"/>
    <pivotCache cacheId="43"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PROJECT DASHBOARD ON GOING.xlsx!Table1_2"/>
          <x15:modelTable id="Table1" name="Table1" connection="WorksheetConnection_PROJECT DASHBOARD ON GOING.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5" i="17" l="1"/>
  <c r="D26" i="17"/>
  <c r="D24" i="17"/>
  <c r="D6" i="15"/>
  <c r="D7" i="15"/>
  <c r="D8" i="15"/>
  <c r="D9" i="15"/>
  <c r="D10" i="15"/>
  <c r="D11" i="15"/>
  <c r="D12" i="15"/>
  <c r="D13" i="15"/>
  <c r="D14" i="15"/>
  <c r="D5" i="15"/>
  <c r="X2" i="3"/>
  <c r="E25" i="17"/>
  <c r="E26" i="17"/>
  <c r="E24" i="17"/>
  <c r="C10" i="6"/>
  <c r="C4" i="6"/>
  <c r="B6" i="11"/>
  <c r="C16" i="6"/>
  <c r="E6" i="15"/>
  <c r="E10" i="15"/>
  <c r="E14" i="15"/>
  <c r="E13" i="15"/>
  <c r="E7" i="15"/>
  <c r="E11" i="15"/>
  <c r="E8" i="15"/>
  <c r="E12" i="15"/>
  <c r="E9" i="15"/>
  <c r="E5" i="15"/>
  <c r="B8" i="13"/>
  <c r="B9" i="13"/>
  <c r="C8" i="13" l="1"/>
  <c r="C9" i="13"/>
  <c r="C6" i="11"/>
  <c r="B7" i="11"/>
  <c r="C7" i="11" s="1"/>
  <c r="C22" i="6"/>
  <c r="C1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F43D69F-CE77-4386-9B27-695D892DD3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07CF7DA-4187-4838-9406-706C720C9F95}" name="WorksheetConnection_PROJECT DASHBOARD ON GOING.xlsx!Table1" type="102" refreshedVersion="8" minRefreshableVersion="5">
    <extLst>
      <ext xmlns:x15="http://schemas.microsoft.com/office/spreadsheetml/2010/11/main" uri="{DE250136-89BD-433C-8126-D09CA5730AF9}">
        <x15:connection id="Table1">
          <x15:rangePr sourceName="_xlcn.WorksheetConnection_PROJECTDASHBOARDONGOING.xlsxTable11"/>
        </x15:connection>
      </ext>
    </extLst>
  </connection>
  <connection id="4" xr16:uid="{853E475C-1059-4FDE-A456-0A282C527E06}" name="WorksheetConnection_PROJECT DASHBOARD ON GOING.xlsx!Table1_2" type="102" refreshedVersion="8" minRefreshableVersion="5">
    <extLst>
      <ext xmlns:x15="http://schemas.microsoft.com/office/spreadsheetml/2010/11/main" uri="{DE250136-89BD-433C-8126-D09CA5730AF9}">
        <x15:connection id="Table1_2" autoDelete="1">
          <x15:rangePr sourceName="_xlcn.WorksheetConnection_PROJECTDASHBOARDONGOING.xlsxTable1_21"/>
        </x15:connection>
      </ext>
    </extLst>
  </connection>
</connections>
</file>

<file path=xl/sharedStrings.xml><?xml version="1.0" encoding="utf-8"?>
<sst xmlns="http://schemas.openxmlformats.org/spreadsheetml/2006/main" count="11093" uniqueCount="1081">
  <si>
    <t>Attrition</t>
  </si>
  <si>
    <t>Business Travel</t>
  </si>
  <si>
    <t>CF_age band</t>
  </si>
  <si>
    <t>CF_attrition label</t>
  </si>
  <si>
    <t>Department</t>
  </si>
  <si>
    <t>Education Field</t>
  </si>
  <si>
    <t>emp no</t>
  </si>
  <si>
    <t>Employee Number</t>
  </si>
  <si>
    <t>Gender</t>
  </si>
  <si>
    <t>Job Role</t>
  </si>
  <si>
    <t>Marital Status</t>
  </si>
  <si>
    <t>Over Time</t>
  </si>
  <si>
    <t>Age</t>
  </si>
  <si>
    <t>Monthly Income</t>
  </si>
  <si>
    <t>Job Satisfaction</t>
  </si>
  <si>
    <t>Environment Satisfaction</t>
  </si>
  <si>
    <t>Years at Company</t>
  </si>
  <si>
    <t>Total Working Years</t>
  </si>
  <si>
    <t>Training Times Last Year</t>
  </si>
  <si>
    <t>Work Life Balance</t>
  </si>
  <si>
    <t>Performance Rating</t>
  </si>
  <si>
    <t>Distance From Home</t>
  </si>
  <si>
    <t>Education</t>
  </si>
  <si>
    <t>No</t>
  </si>
  <si>
    <t>Travel_Rarely</t>
  </si>
  <si>
    <t>Under 25</t>
  </si>
  <si>
    <t>Current Employees</t>
  </si>
  <si>
    <t>HR</t>
  </si>
  <si>
    <t>Medical</t>
  </si>
  <si>
    <t>STAFF-1</t>
  </si>
  <si>
    <t>Male</t>
  </si>
  <si>
    <t>Research Scientist</t>
  </si>
  <si>
    <t>Divorced</t>
  </si>
  <si>
    <t>Yes</t>
  </si>
  <si>
    <t>25 - 34</t>
  </si>
  <si>
    <t>STAFF-2</t>
  </si>
  <si>
    <t>Female</t>
  </si>
  <si>
    <t>Healthcare Representative</t>
  </si>
  <si>
    <t>Married</t>
  </si>
  <si>
    <t>35 - 44</t>
  </si>
  <si>
    <t>Finance</t>
  </si>
  <si>
    <t>Human Resources</t>
  </si>
  <si>
    <t>STAFF-3</t>
  </si>
  <si>
    <t>Data Analyst</t>
  </si>
  <si>
    <t>Travel_Frequently</t>
  </si>
  <si>
    <t>STAFF-4</t>
  </si>
  <si>
    <t>Marketing</t>
  </si>
  <si>
    <t>STAFF-5</t>
  </si>
  <si>
    <t>Manager</t>
  </si>
  <si>
    <t>STAFF-6</t>
  </si>
  <si>
    <t>Single</t>
  </si>
  <si>
    <t>IT</t>
  </si>
  <si>
    <t>Other</t>
  </si>
  <si>
    <t>STAFF-7</t>
  </si>
  <si>
    <t>Non-Travel</t>
  </si>
  <si>
    <t>R&amp;D</t>
  </si>
  <si>
    <t>STAFF-8</t>
  </si>
  <si>
    <t>Over 55</t>
  </si>
  <si>
    <t>STAFF-9</t>
  </si>
  <si>
    <t>Developer</t>
  </si>
  <si>
    <t>Sales</t>
  </si>
  <si>
    <t>STAFF-10</t>
  </si>
  <si>
    <t>STAFF-11</t>
  </si>
  <si>
    <t>STAFF-12</t>
  </si>
  <si>
    <t>Sales Executive</t>
  </si>
  <si>
    <t>45 - 54</t>
  </si>
  <si>
    <t>Life Sciences</t>
  </si>
  <si>
    <t>STAFF-13</t>
  </si>
  <si>
    <t>Technical Degree</t>
  </si>
  <si>
    <t>STAFF-14</t>
  </si>
  <si>
    <t>Laboratory Technician</t>
  </si>
  <si>
    <t>STAFF-15</t>
  </si>
  <si>
    <t>STAFF-16</t>
  </si>
  <si>
    <t>Ex-Employees</t>
  </si>
  <si>
    <t>STAFF-17</t>
  </si>
  <si>
    <t>STAFF-18</t>
  </si>
  <si>
    <t>Manufacturing Director</t>
  </si>
  <si>
    <t>STAFF-19</t>
  </si>
  <si>
    <t>STAFF-20</t>
  </si>
  <si>
    <t>STAFF-21</t>
  </si>
  <si>
    <t>STAFF-22</t>
  </si>
  <si>
    <t>STAFF-23</t>
  </si>
  <si>
    <t>STAFF-24</t>
  </si>
  <si>
    <t>STAFF-25</t>
  </si>
  <si>
    <t>STAFF-26</t>
  </si>
  <si>
    <t>STAFF-27</t>
  </si>
  <si>
    <t>Sales Representative</t>
  </si>
  <si>
    <t>STAFF-28</t>
  </si>
  <si>
    <t>STAFF-29</t>
  </si>
  <si>
    <t>STAFF-30</t>
  </si>
  <si>
    <t>STAFF-31</t>
  </si>
  <si>
    <t>STAFF-32</t>
  </si>
  <si>
    <t>STAFF-33</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</si>
  <si>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</si>
  <si>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</si>
  <si>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</si>
  <si>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</si>
  <si>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</si>
  <si>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</si>
  <si>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</si>
  <si>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</si>
  <si>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</si>
  <si>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</si>
  <si>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</si>
  <si>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</si>
  <si>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</si>
  <si>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</si>
  <si>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</si>
  <si>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</si>
  <si>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</si>
  <si>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</si>
  <si>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</si>
  <si>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</si>
  <si>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</si>
  <si>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</si>
  <si>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</si>
  <si>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</si>
  <si>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</si>
  <si>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</si>
  <si>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</si>
  <si>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</si>
  <si>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</si>
  <si>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</si>
  <si>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</si>
  <si>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</si>
  <si>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</si>
  <si>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</si>
  <si>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</si>
  <si>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</si>
  <si>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</si>
  <si>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</si>
  <si>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</si>
  <si>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</si>
  <si>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</si>
  <si>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</si>
  <si>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</si>
  <si>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</si>
  <si>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</si>
  <si>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</si>
  <si>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STAFF-80</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</si>
  <si>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</si>
  <si>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</si>
  <si>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</si>
  <si>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</si>
  <si>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</si>
  <si>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</si>
  <si>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</si>
  <si>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</si>
  <si>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</si>
  <si>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</si>
  <si>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</si>
  <si>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</si>
  <si>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</si>
  <si>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</si>
  <si>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</si>
  <si>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</si>
  <si>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</si>
  <si>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</si>
  <si>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</si>
  <si>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</si>
  <si>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</si>
  <si>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</si>
  <si>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</si>
  <si>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</si>
  <si>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</si>
  <si>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</si>
  <si>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</si>
  <si>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</si>
  <si>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</si>
  <si>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</si>
  <si>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</si>
  <si>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</si>
  <si>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</si>
  <si>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</si>
  <si>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</si>
  <si>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</si>
  <si>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</si>
  <si>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</si>
  <si>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</si>
  <si>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</si>
  <si>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</si>
  <si>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</si>
  <si>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</si>
  <si>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</si>
  <si>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</si>
  <si>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</si>
  <si>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</si>
  <si>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</si>
  <si>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</si>
  <si>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</si>
  <si>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</si>
  <si>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</si>
  <si>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</si>
  <si>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</si>
  <si>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</si>
  <si>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</si>
  <si>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</si>
  <si>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</si>
  <si>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</si>
  <si>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</si>
  <si>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</si>
  <si>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</si>
  <si>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</si>
  <si>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</si>
  <si>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</si>
  <si>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</si>
  <si>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</si>
  <si>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</si>
  <si>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</si>
  <si>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</si>
  <si>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</si>
  <si>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</si>
  <si>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</si>
  <si>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</si>
  <si>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</si>
  <si>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</si>
  <si>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</si>
  <si>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</si>
  <si>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</si>
  <si>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</si>
  <si>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</si>
  <si>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</si>
  <si>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</si>
  <si>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</si>
  <si>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</si>
  <si>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</si>
  <si>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</si>
  <si>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</si>
  <si>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</si>
  <si>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</si>
  <si>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</si>
  <si>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</si>
  <si>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</si>
  <si>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</si>
  <si>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</si>
  <si>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</si>
  <si>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</si>
  <si>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</si>
  <si>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</si>
  <si>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</si>
  <si>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</si>
  <si>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</si>
  <si>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</si>
  <si>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</si>
  <si>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</si>
  <si>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</si>
  <si>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</si>
  <si>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</si>
  <si>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</si>
  <si>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</si>
  <si>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</si>
  <si>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</si>
  <si>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</si>
  <si>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</si>
  <si>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</si>
  <si>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</si>
  <si>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</si>
  <si>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</si>
  <si>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</si>
  <si>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</si>
  <si>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</si>
  <si>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</si>
  <si>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</si>
  <si>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</si>
  <si>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</si>
  <si>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</si>
  <si>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</si>
  <si>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</si>
  <si>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</si>
  <si>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</si>
  <si>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</si>
  <si>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</si>
  <si>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</si>
  <si>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</si>
  <si>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</si>
  <si>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</si>
  <si>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</si>
  <si>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</si>
  <si>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</si>
  <si>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</si>
  <si>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</si>
  <si>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</si>
  <si>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</si>
  <si>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</si>
  <si>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</si>
  <si>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</si>
  <si>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</si>
  <si>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</si>
  <si>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</si>
  <si>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</si>
  <si>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</si>
  <si>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</si>
  <si>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</si>
  <si>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</si>
  <si>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</si>
  <si>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</si>
  <si>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</si>
  <si>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</si>
  <si>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</si>
  <si>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</si>
  <si>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</si>
  <si>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</si>
  <si>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</si>
  <si>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</si>
  <si>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</si>
  <si>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</si>
  <si>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</si>
  <si>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</si>
  <si>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</si>
  <si>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</si>
  <si>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</si>
  <si>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</si>
  <si>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</si>
  <si>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</si>
  <si>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</si>
  <si>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</si>
  <si>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</si>
  <si>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</si>
  <si>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</si>
  <si>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</si>
  <si>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</si>
  <si>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</si>
  <si>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</si>
  <si>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</si>
  <si>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</si>
  <si>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</si>
  <si>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</si>
  <si>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</si>
  <si>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</si>
  <si>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</si>
  <si>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</si>
  <si>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</si>
  <si>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</si>
  <si>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</si>
  <si>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</si>
  <si>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</si>
  <si>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</si>
  <si>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</si>
  <si>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</si>
  <si>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</si>
  <si>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</si>
  <si>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</si>
  <si>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</si>
  <si>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</si>
  <si>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</si>
  <si>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</si>
  <si>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</si>
  <si>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</si>
  <si>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</si>
  <si>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</si>
  <si>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</si>
  <si>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</si>
  <si>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</si>
  <si>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</si>
  <si>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</si>
  <si>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</si>
  <si>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</si>
  <si>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</si>
  <si>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</si>
  <si>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</si>
  <si>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</si>
  <si>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</si>
  <si>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</si>
  <si>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</si>
  <si>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</si>
  <si>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</si>
  <si>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</si>
  <si>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</si>
  <si>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</si>
  <si>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</si>
  <si>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</si>
  <si>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</si>
  <si>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</si>
  <si>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</si>
  <si>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</si>
  <si>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</si>
  <si>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</si>
  <si>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</si>
  <si>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</si>
  <si>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</si>
  <si>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</si>
  <si>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</si>
  <si>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</si>
  <si>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</si>
  <si>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</si>
  <si>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</si>
  <si>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</si>
  <si>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</si>
  <si>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</si>
  <si>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</si>
  <si>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</si>
  <si>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</si>
  <si>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</si>
  <si>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</si>
  <si>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</si>
  <si>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</si>
  <si>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</si>
  <si>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</si>
  <si>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</si>
  <si>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</si>
  <si>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</si>
  <si>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</si>
  <si>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</si>
  <si>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</si>
  <si>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</si>
  <si>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</si>
  <si>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</si>
  <si>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</si>
  <si>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</si>
  <si>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</si>
  <si>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</si>
  <si>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</si>
  <si>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</si>
  <si>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</si>
  <si>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</si>
  <si>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</si>
  <si>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</si>
  <si>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</si>
  <si>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</si>
  <si>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</si>
  <si>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</si>
  <si>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</si>
  <si>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</si>
  <si>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</si>
  <si>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</si>
  <si>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</si>
  <si>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</si>
  <si>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</si>
  <si>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</si>
  <si>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</si>
  <si>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</si>
  <si>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</si>
  <si>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</si>
  <si>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</si>
  <si>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</si>
  <si>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</si>
  <si>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</si>
  <si>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</si>
  <si>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</si>
  <si>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</si>
  <si>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</si>
  <si>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</si>
  <si>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</si>
  <si>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</si>
  <si>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</si>
  <si>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</si>
  <si>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</si>
  <si>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</si>
  <si>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</si>
  <si>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</si>
  <si>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</si>
  <si>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</si>
  <si>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</si>
  <si>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</si>
  <si>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</si>
  <si>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</si>
  <si>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</si>
  <si>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</si>
  <si>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</si>
  <si>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</si>
  <si>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</si>
  <si>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</si>
  <si>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</si>
  <si>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</si>
  <si>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</si>
  <si>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</si>
  <si>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</si>
  <si>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</si>
  <si>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</si>
  <si>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</si>
  <si>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</si>
  <si>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</si>
  <si>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</si>
  <si>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</si>
  <si>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</si>
  <si>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</si>
  <si>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</si>
  <si>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</si>
  <si>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</si>
  <si>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</si>
  <si>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</si>
  <si>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</si>
  <si>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</si>
  <si>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</si>
  <si>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</si>
  <si>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</si>
  <si>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</si>
  <si>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</si>
  <si>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</si>
  <si>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</si>
  <si>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</si>
  <si>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</si>
  <si>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</si>
  <si>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</si>
  <si>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</si>
  <si>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</si>
  <si>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</si>
  <si>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</si>
  <si>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</si>
  <si>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</si>
  <si>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</si>
  <si>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</si>
  <si>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</si>
  <si>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</si>
  <si>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</si>
  <si>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</si>
  <si>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</si>
  <si>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</si>
  <si>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</si>
  <si>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</si>
  <si>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</si>
  <si>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</si>
  <si>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</si>
  <si>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</si>
  <si>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</si>
  <si>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</si>
  <si>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</si>
  <si>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</si>
  <si>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</si>
  <si>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</si>
  <si>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</si>
  <si>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</si>
  <si>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</si>
  <si>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</si>
  <si>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</si>
  <si>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</si>
  <si>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</si>
  <si>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</si>
  <si>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</si>
  <si>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</si>
  <si>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</si>
  <si>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</si>
  <si>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</si>
  <si>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</si>
  <si>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</si>
  <si>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</si>
  <si>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</si>
  <si>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</si>
  <si>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</si>
  <si>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</si>
  <si>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</si>
  <si>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</si>
  <si>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</si>
  <si>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</si>
  <si>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</si>
  <si>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</si>
  <si>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</si>
  <si>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</si>
  <si>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</si>
  <si>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</si>
  <si>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</si>
  <si>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</si>
  <si>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</si>
  <si>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</si>
  <si>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</si>
  <si>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</si>
  <si>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</si>
  <si>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</si>
  <si>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</si>
  <si>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</si>
  <si>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</si>
  <si>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</si>
  <si>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</si>
  <si>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</si>
  <si>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</si>
  <si>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</si>
  <si>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</si>
  <si>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</si>
  <si>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</si>
  <si>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</si>
  <si>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</si>
  <si>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</si>
  <si>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</si>
  <si>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</si>
  <si>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</si>
  <si>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</si>
  <si>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</si>
  <si>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</si>
  <si>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</si>
  <si>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</si>
  <si>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</si>
  <si>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</si>
  <si>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</si>
  <si>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</si>
  <si>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</si>
  <si>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</si>
  <si>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</si>
  <si>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</si>
  <si>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</si>
  <si>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</si>
  <si>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</si>
  <si>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</si>
  <si>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</si>
  <si>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</si>
  <si>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</si>
  <si>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</si>
  <si>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</si>
  <si>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</si>
  <si>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</si>
  <si>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</si>
  <si>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</si>
  <si>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</si>
  <si>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</si>
  <si>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</si>
  <si>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</si>
  <si>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</si>
  <si>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</si>
  <si>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</si>
  <si>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</si>
  <si>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</si>
  <si>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</si>
  <si>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</si>
  <si>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</si>
  <si>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</si>
  <si>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</si>
  <si>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</si>
  <si>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</si>
  <si>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</si>
  <si>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</si>
  <si>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</si>
  <si>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</si>
  <si>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</si>
  <si>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</si>
  <si>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</si>
  <si>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</si>
  <si>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</si>
  <si>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</si>
  <si>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</si>
  <si>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</si>
  <si>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</si>
  <si>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</si>
  <si>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</si>
  <si>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</si>
  <si>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</si>
  <si>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</si>
  <si>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</si>
  <si>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</si>
  <si>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</si>
  <si>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</si>
  <si>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</si>
  <si>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</si>
  <si>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</si>
  <si>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</si>
  <si>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</si>
  <si>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</si>
  <si>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</si>
  <si>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</si>
  <si>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</si>
  <si>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</si>
  <si>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</si>
  <si>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</si>
  <si>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</si>
  <si>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</si>
  <si>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</si>
  <si>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</si>
  <si>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</si>
  <si>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</si>
  <si>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</si>
  <si>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</si>
  <si>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</si>
  <si>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</si>
  <si>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</si>
  <si>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</si>
  <si>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</si>
  <si>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</si>
  <si>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</si>
  <si>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</si>
  <si>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</si>
  <si>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</si>
  <si>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</si>
  <si>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</si>
  <si>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</si>
  <si>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</si>
  <si>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</si>
  <si>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</si>
  <si>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</si>
  <si>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</si>
  <si>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</si>
  <si>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</si>
  <si>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</si>
  <si>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</si>
  <si>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</si>
  <si>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</si>
  <si>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</si>
  <si>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</si>
  <si>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</si>
  <si>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</si>
  <si>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</si>
  <si>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</si>
  <si>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</si>
  <si>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</si>
  <si>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</si>
  <si>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</si>
  <si>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</si>
  <si>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</si>
  <si>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</si>
  <si>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</si>
  <si>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</si>
  <si>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</si>
  <si>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</si>
  <si>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</si>
  <si>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</si>
  <si>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</si>
  <si>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</si>
  <si>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</si>
  <si>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</si>
  <si>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</si>
  <si>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</si>
  <si>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</si>
  <si>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</si>
  <si>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</si>
  <si>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</si>
  <si>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</si>
  <si>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</si>
  <si>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</si>
  <si>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</si>
  <si>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</si>
  <si>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</si>
  <si>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</si>
  <si>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</si>
  <si>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</si>
  <si>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</si>
  <si>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</si>
  <si>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</si>
  <si>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</si>
  <si>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</si>
  <si>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</si>
  <si>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</si>
  <si>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</si>
  <si>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</si>
  <si>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</si>
  <si>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</si>
  <si>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</si>
  <si>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</si>
  <si>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</si>
  <si>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</si>
  <si>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</si>
  <si>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</si>
  <si>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</si>
  <si>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</si>
  <si>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</si>
  <si>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</si>
  <si>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</si>
  <si>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</si>
  <si>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</si>
  <si>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</si>
  <si>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</si>
  <si>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</si>
  <si>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</si>
  <si>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</si>
  <si>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</si>
  <si>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</si>
  <si>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</si>
  <si>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</si>
  <si>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</si>
  <si>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</si>
  <si>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</si>
  <si>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</si>
  <si>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</si>
  <si>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</si>
  <si>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</si>
  <si>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</si>
  <si>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</si>
  <si>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</si>
  <si>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</si>
  <si>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</si>
  <si>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</si>
  <si>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</si>
  <si>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</si>
  <si>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</si>
  <si>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</si>
  <si>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</si>
  <si>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</si>
  <si>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</si>
  <si>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</si>
  <si>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</si>
  <si>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</si>
  <si>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</si>
  <si>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</si>
  <si>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</si>
  <si>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</si>
  <si>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</si>
  <si>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</si>
  <si>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</si>
  <si>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</si>
  <si>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</si>
  <si>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</si>
  <si>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</si>
  <si>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</si>
  <si>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</si>
  <si>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</si>
  <si>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</si>
  <si>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</si>
  <si>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</si>
  <si>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</si>
  <si>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</si>
  <si>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</si>
  <si>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</si>
  <si>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</si>
  <si>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</si>
  <si>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</si>
  <si>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</si>
  <si>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</si>
  <si>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</si>
  <si>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</si>
  <si>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</si>
  <si>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</si>
  <si>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</si>
  <si>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</si>
  <si>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</si>
  <si>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</si>
  <si>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</si>
  <si>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</si>
  <si>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</si>
  <si>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</si>
  <si>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</si>
  <si>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</si>
  <si>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</si>
  <si>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</si>
  <si>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</si>
  <si>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</si>
  <si>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</si>
  <si>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</si>
  <si>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</si>
  <si>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</si>
  <si>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</si>
  <si>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</si>
  <si>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</si>
  <si>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</si>
  <si>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</si>
  <si>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</si>
  <si>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</si>
  <si>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</si>
  <si>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</si>
  <si>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</si>
  <si>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</si>
  <si>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</si>
  <si>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</si>
  <si>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</si>
  <si>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</si>
  <si>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</si>
  <si>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</si>
  <si>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</si>
  <si>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</si>
  <si>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</si>
  <si>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</si>
  <si>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</si>
  <si>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</si>
  <si>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</si>
  <si>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</si>
  <si>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</si>
  <si>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</si>
  <si>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</si>
  <si>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</si>
  <si>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</si>
  <si>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</si>
  <si>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</si>
  <si>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</si>
  <si>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</si>
  <si>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</si>
  <si>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</si>
  <si>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</si>
  <si>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</si>
  <si>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</si>
  <si>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</si>
  <si>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</si>
  <si>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</si>
  <si>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</si>
  <si>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</si>
  <si>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</si>
  <si>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</si>
  <si>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</si>
  <si>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</si>
  <si>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</si>
  <si>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</si>
  <si>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</si>
  <si>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</si>
  <si>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</si>
  <si>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</si>
  <si>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</si>
  <si>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</si>
  <si>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</si>
  <si>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</si>
  <si>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</si>
  <si>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</si>
  <si>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</si>
  <si>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</si>
  <si>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</si>
  <si>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</si>
  <si>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</si>
  <si>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</si>
  <si>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</si>
  <si>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</si>
  <si>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</si>
  <si>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</si>
  <si>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</si>
  <si>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</si>
  <si>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</si>
  <si>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</si>
  <si>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</si>
  <si>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</si>
  <si>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</si>
  <si>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</si>
  <si>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</si>
  <si>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</si>
  <si>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</si>
  <si>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</si>
  <si>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</si>
  <si>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</si>
  <si>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</si>
  <si>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</si>
  <si>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</si>
  <si>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</si>
  <si>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</si>
  <si>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</si>
  <si>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</si>
  <si>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</si>
  <si>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</si>
  <si>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</si>
  <si>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</si>
  <si>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</si>
  <si>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</si>
  <si>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</si>
  <si>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</si>
  <si>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</si>
  <si>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</si>
  <si>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</si>
  <si>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</si>
  <si>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</si>
  <si>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</si>
  <si>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</si>
  <si>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</si>
  <si>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</si>
  <si>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</si>
  <si>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</si>
  <si>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</si>
  <si>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</si>
  <si>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</si>
  <si>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</si>
  <si>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</si>
  <si>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</si>
  <si>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</si>
  <si>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</si>
  <si>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</si>
  <si>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</si>
  <si>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</si>
  <si>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</si>
  <si>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</si>
  <si>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</si>
  <si>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</si>
  <si>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</si>
  <si>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</si>
  <si>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</si>
  <si>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</si>
  <si>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</si>
  <si>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</si>
  <si>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</si>
  <si>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</si>
  <si>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</si>
  <si>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</si>
  <si>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</si>
  <si>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</si>
  <si>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</si>
  <si>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</si>
  <si>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</si>
  <si>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</si>
  <si>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</si>
  <si>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</si>
  <si>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</si>
  <si>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</si>
  <si>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</si>
  <si>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</si>
  <si>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</si>
  <si>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</si>
  <si>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</si>
  <si>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</si>
  <si>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</si>
  <si>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</si>
  <si>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</si>
  <si>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</si>
  <si>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</si>
  <si>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</si>
  <si>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</si>
  <si>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</si>
  <si>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</si>
  <si>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</si>
  <si>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</si>
  <si>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</si>
  <si>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</si>
  <si>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</si>
  <si>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</si>
  <si>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</si>
  <si>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</si>
  <si>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</si>
  <si>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</si>
  <si>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</si>
  <si>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</si>
  <si>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</si>
  <si>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</si>
  <si>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</si>
  <si>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</si>
  <si>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</si>
  <si>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</si>
  <si>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</si>
  <si>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</si>
  <si>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</si>
  <si>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</si>
  <si>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</si>
  <si>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</si>
  <si>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</si>
  <si>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</si>
  <si>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</si>
  <si>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</si>
  <si>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</si>
  <si>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</si>
  <si>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</si>
  <si>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</si>
  <si>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</si>
  <si>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</si>
  <si>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</si>
  <si>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</si>
  <si>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</si>
  <si>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</si>
  <si>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</si>
  <si>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</si>
  <si>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</si>
  <si>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</si>
  <si>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</si>
  <si>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</si>
  <si>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</si>
  <si>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</si>
  <si>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</si>
  <si>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</si>
  <si>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</si>
  <si>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</si>
  <si>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</si>
  <si>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</si>
  <si>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</si>
  <si>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</si>
  <si>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</si>
  <si>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</si>
  <si>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</si>
  <si>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</si>
  <si>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</si>
  <si>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</si>
  <si>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</si>
  <si>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</si>
  <si>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</si>
  <si>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</si>
  <si>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</si>
  <si>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</si>
  <si>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</si>
  <si>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</si>
  <si>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</si>
  <si>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</si>
  <si>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</si>
  <si>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</si>
  <si>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</si>
  <si>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</si>
  <si>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</si>
  <si>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Count of Employee Number</t>
  </si>
  <si>
    <t xml:space="preserve">Attrition Count </t>
  </si>
  <si>
    <t xml:space="preserve">Sum of Attrition Count </t>
  </si>
  <si>
    <t>Average of Age</t>
  </si>
  <si>
    <t>TOTAL EMPLOYEE</t>
  </si>
  <si>
    <t xml:space="preserve">ATTRITION COUNT </t>
  </si>
  <si>
    <t xml:space="preserve">AVERAGE AGE </t>
  </si>
  <si>
    <t>ACTIVE EMPLOYEE</t>
  </si>
  <si>
    <t xml:space="preserve">ATTRITION RATE </t>
  </si>
  <si>
    <t>Average of Job Satisfaction</t>
  </si>
  <si>
    <t xml:space="preserve">RATING </t>
  </si>
  <si>
    <t xml:space="preserve">BALANCE- RATING </t>
  </si>
  <si>
    <t>Row Labels</t>
  </si>
  <si>
    <t>Grand Total</t>
  </si>
  <si>
    <t xml:space="preserve">Female </t>
  </si>
  <si>
    <t xml:space="preserve">Male </t>
  </si>
  <si>
    <t>Count of emp no</t>
  </si>
  <si>
    <t xml:space="preserve">JOB ROLE </t>
  </si>
  <si>
    <t xml:space="preserve">ATTRITION </t>
  </si>
  <si>
    <t>Count of Attrition</t>
  </si>
  <si>
    <t xml:space="preserve">MARTIAL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</si>
</sst>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NumberFormat="1"/>
    <xf numFmtId="1" fontId="0" fillId="0" borderId="0" xfId="0" applyNumberFormat="1"/>
    <xf numFmtId="9" fontId="0" fillId="0" borderId="0" xfId="1" applyFont="1"/>
    <xf numFmtId="0" fontId="0" fillId="33" borderId="0" xfId="0" applyFill="1" applyBorder="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33" borderId="0" xfId="0"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color theme="1"/>
      </font>
      <fill>
        <patternFill>
          <bgColor theme="7" tint="0.59996337778862885"/>
        </patternFill>
      </fill>
      <border diagonalUp="0" diagonalDown="0">
        <left/>
        <right/>
        <top/>
        <bottom/>
        <vertical/>
        <horizontal/>
      </border>
    </dxf>
    <dxf>
      <fill>
        <patternFill>
          <bgColor theme="7"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s>
  <tableStyles count="1" defaultTableStyle="TableStyleMedium2" defaultPivotStyle="PivotStyleLight16">
    <tableStyle name="STYLE 5" pivot="0" table="0" count="3" xr9:uid="{214AE75C-CE4D-4C59-A4CD-9DB6698FA76C}">
      <tableStyleElement type="wholeTable" dxfId="17"/>
      <tableStyleElement type="headerRow" dxfId="16"/>
    </tableStyle>
  </tableStyles>
  <colors>
    <mruColors>
      <color rgb="FFB81A80"/>
      <color rgb="FFD81E96"/>
      <color rgb="FFFEF4FB"/>
      <color rgb="FFF73B48"/>
      <color rgb="FFFB7171"/>
      <color rgb="FFFF3399"/>
      <color rgb="FFF0A0DB"/>
      <color rgb="FFEBA5DC"/>
      <color rgb="FFBF23A1"/>
      <color rgb="FFCE0C2C"/>
    </mruColors>
  </colors>
  <extLst>
    <ext xmlns:x14="http://schemas.microsoft.com/office/spreadsheetml/2009/9/main" uri="{46F421CA-312F-682f-3DD2-61675219B42D}">
      <x14:dxfs count="2">
        <dxf>
          <font>
            <color theme="1"/>
          </font>
          <fill>
            <patternFill>
              <fgColor theme="7" tint="0.39994506668294322"/>
              <bgColor theme="7" tint="0.39991454817346722"/>
            </patternFill>
          </fill>
          <border>
            <left style="thin">
              <color auto="1"/>
            </left>
            <right style="thin">
              <color auto="1"/>
            </right>
            <top style="thin">
              <color auto="1"/>
            </top>
            <bottom style="thin">
              <color auto="1"/>
            </bottom>
          </border>
        </dxf>
        <dxf>
          <font>
            <color theme="1"/>
          </font>
          <fill>
            <patternFill>
              <bgColor theme="7"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87-415D-B8A6-46175423A2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87-415D-B8A6-46175423A2A0}"/>
              </c:ext>
            </c:extLst>
          </c:dPt>
          <c:val>
            <c:numRef>
              <c:f>'RATING '!$C$6:$C$7</c:f>
              <c:numCache>
                <c:formatCode>General</c:formatCode>
                <c:ptCount val="2"/>
                <c:pt idx="0">
                  <c:v>0.62357414448669202</c:v>
                </c:pt>
                <c:pt idx="1">
                  <c:v>0.37642585551330798</c:v>
                </c:pt>
              </c:numCache>
            </c:numRef>
          </c:val>
          <c:extLst>
            <c:ext xmlns:c16="http://schemas.microsoft.com/office/drawing/2014/chart" uri="{C3380CC4-5D6E-409C-BE32-E72D297353CC}">
              <c16:uniqueId val="{00000000-566E-494B-B47B-B2C8F1EAE520}"/>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4.1666666666666664E-2"/>
          <c:w val="0.93888888888888888"/>
          <c:h val="0.89814814814814814"/>
        </c:manualLayout>
      </c:layout>
      <c:barChart>
        <c:barDir val="bar"/>
        <c:grouping val="stacked"/>
        <c:varyColors val="0"/>
        <c:ser>
          <c:idx val="0"/>
          <c:order val="0"/>
          <c:spPr>
            <a:solidFill>
              <a:schemeClr val="accent1"/>
            </a:solidFill>
            <a:ln>
              <a:noFill/>
            </a:ln>
            <a:effectLst/>
          </c:spPr>
          <c:invertIfNegative val="0"/>
          <c:val>
            <c:numRef>
              <c:f>'RATING '!$B$6</c:f>
              <c:numCache>
                <c:formatCode>0.0</c:formatCode>
                <c:ptCount val="1"/>
                <c:pt idx="0">
                  <c:v>2.4942965779467681</c:v>
                </c:pt>
              </c:numCache>
            </c:numRef>
          </c:val>
          <c:extLst>
            <c:ext xmlns:c16="http://schemas.microsoft.com/office/drawing/2014/chart" uri="{C3380CC4-5D6E-409C-BE32-E72D297353CC}">
              <c16:uniqueId val="{00000000-4576-4E53-86BE-84A8676D8E2B}"/>
            </c:ext>
          </c:extLst>
        </c:ser>
        <c:ser>
          <c:idx val="1"/>
          <c:order val="1"/>
          <c:spPr>
            <a:solidFill>
              <a:schemeClr val="accent2"/>
            </a:solidFill>
            <a:ln>
              <a:noFill/>
            </a:ln>
            <a:effectLst/>
          </c:spPr>
          <c:invertIfNegative val="0"/>
          <c:val>
            <c:numRef>
              <c:f>'RATING '!$B$7</c:f>
              <c:numCache>
                <c:formatCode>0.0</c:formatCode>
                <c:ptCount val="1"/>
                <c:pt idx="0">
                  <c:v>1.5057034220532319</c:v>
                </c:pt>
              </c:numCache>
            </c:numRef>
          </c:val>
          <c:extLst>
            <c:ext xmlns:c16="http://schemas.microsoft.com/office/drawing/2014/chart" uri="{C3380CC4-5D6E-409C-BE32-E72D297353CC}">
              <c16:uniqueId val="{00000001-4576-4E53-86BE-84A8676D8E2B}"/>
            </c:ext>
          </c:extLst>
        </c:ser>
        <c:dLbls>
          <c:showLegendKey val="0"/>
          <c:showVal val="0"/>
          <c:showCatName val="0"/>
          <c:showSerName val="0"/>
          <c:showPercent val="0"/>
          <c:showBubbleSize val="0"/>
        </c:dLbls>
        <c:gapWidth val="0"/>
        <c:overlap val="100"/>
        <c:axId val="1875602160"/>
        <c:axId val="1875585520"/>
      </c:barChart>
      <c:catAx>
        <c:axId val="1875602160"/>
        <c:scaling>
          <c:orientation val="minMax"/>
        </c:scaling>
        <c:delete val="1"/>
        <c:axPos val="l"/>
        <c:majorTickMark val="none"/>
        <c:minorTickMark val="none"/>
        <c:tickLblPos val="nextTo"/>
        <c:crossAx val="1875585520"/>
        <c:crosses val="autoZero"/>
        <c:auto val="1"/>
        <c:lblAlgn val="ctr"/>
        <c:lblOffset val="100"/>
        <c:noMultiLvlLbl val="0"/>
      </c:catAx>
      <c:valAx>
        <c:axId val="1875585520"/>
        <c:scaling>
          <c:orientation val="minMax"/>
          <c:max val="4"/>
        </c:scaling>
        <c:delete val="1"/>
        <c:axPos val="b"/>
        <c:numFmt formatCode="0.0" sourceLinked="1"/>
        <c:majorTickMark val="none"/>
        <c:minorTickMark val="none"/>
        <c:tickLblPos val="nextTo"/>
        <c:crossAx val="18756021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43090644475126"/>
          <c:y val="8.1549413165285897E-2"/>
          <c:w val="0.63586122824694302"/>
          <c:h val="0.82059129103637107"/>
        </c:manualLayout>
      </c:layout>
      <c:doughnutChart>
        <c:varyColors val="0"/>
        <c:ser>
          <c:idx val="0"/>
          <c:order val="0"/>
          <c:spPr>
            <a:gradFill>
              <a:gsLst>
                <a:gs pos="70000">
                  <a:srgbClr val="BF23A1"/>
                </a:gs>
                <a:gs pos="0">
                  <a:srgbClr val="FF0000"/>
                </a:gs>
                <a:gs pos="74000">
                  <a:srgbClr val="CE0C2C"/>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Pt>
            <c:idx val="0"/>
            <c:bubble3D val="0"/>
            <c:spPr>
              <a:gradFill>
                <a:gsLst>
                  <a:gs pos="70000">
                    <a:srgbClr val="BF23A1"/>
                  </a:gs>
                  <a:gs pos="0">
                    <a:srgbClr val="FF3399"/>
                  </a:gs>
                  <a:gs pos="52000">
                    <a:srgbClr val="FF3399"/>
                  </a:gs>
                  <a:gs pos="92027">
                    <a:srgbClr val="DABCE5"/>
                  </a:gs>
                  <a:gs pos="36000">
                    <a:srgbClr val="F0A0DB"/>
                  </a:gs>
                  <a:gs pos="100000">
                    <a:srgbClr val="FF3399"/>
                  </a:gs>
                </a:gsLst>
                <a:lin ang="5400000" scaled="1"/>
              </a:gradFill>
              <a:ln w="19050">
                <a:solidFill>
                  <a:schemeClr val="lt1"/>
                </a:solidFill>
              </a:ln>
              <a:effectLst/>
            </c:spPr>
            <c:extLst>
              <c:ext xmlns:c16="http://schemas.microsoft.com/office/drawing/2014/chart" uri="{C3380CC4-5D6E-409C-BE32-E72D297353CC}">
                <c16:uniqueId val="{00000001-6DB6-4861-929F-355BAF4FC3D5}"/>
              </c:ext>
            </c:extLst>
          </c:dPt>
          <c:dPt>
            <c:idx val="1"/>
            <c:bubble3D val="0"/>
            <c:spPr>
              <a:gradFill>
                <a:gsLst>
                  <a:gs pos="56000">
                    <a:srgbClr val="FB7171"/>
                  </a:gs>
                  <a:gs pos="0">
                    <a:srgbClr val="FF0000"/>
                  </a:gs>
                  <a:gs pos="74000">
                    <a:srgbClr val="CE0C2C"/>
                  </a:gs>
                  <a:gs pos="83000">
                    <a:srgbClr val="F73B48"/>
                  </a:gs>
                  <a:gs pos="100000">
                    <a:srgbClr val="FEF4FB"/>
                  </a:gs>
                </a:gsLst>
                <a:lin ang="5400000" scaled="1"/>
              </a:gradFill>
              <a:ln w="19050">
                <a:solidFill>
                  <a:schemeClr val="lt1"/>
                </a:solidFill>
              </a:ln>
              <a:effectLst/>
            </c:spPr>
            <c:extLst>
              <c:ext xmlns:c16="http://schemas.microsoft.com/office/drawing/2014/chart" uri="{C3380CC4-5D6E-409C-BE32-E72D297353CC}">
                <c16:uniqueId val="{00000002-6DB6-4861-929F-355BAF4FC3D5}"/>
              </c:ext>
            </c:extLst>
          </c:dPt>
          <c:val>
            <c:numRef>
              <c:f>'gender '!$C$8:$C$9</c:f>
              <c:numCache>
                <c:formatCode>0%</c:formatCode>
                <c:ptCount val="2"/>
                <c:pt idx="0">
                  <c:v>0.52600000000000002</c:v>
                </c:pt>
                <c:pt idx="1">
                  <c:v>0.47399999999999998</c:v>
                </c:pt>
              </c:numCache>
            </c:numRef>
          </c:val>
          <c:extLst>
            <c:ext xmlns:c16="http://schemas.microsoft.com/office/drawing/2014/chart" uri="{C3380CC4-5D6E-409C-BE32-E72D297353CC}">
              <c16:uniqueId val="{00000000-6DB6-4861-929F-355BAF4FC3D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75002176860591"/>
          <c:y val="8.9704354481814477E-2"/>
          <c:w val="0.63586122824694302"/>
          <c:h val="0.82059129103637107"/>
        </c:manualLayout>
      </c:layout>
      <c:doughnutChart>
        <c:varyColors val="1"/>
        <c:ser>
          <c:idx val="0"/>
          <c:order val="0"/>
          <c:spPr>
            <a:gradFill>
              <a:gsLst>
                <a:gs pos="56000">
                  <a:schemeClr val="accent1">
                    <a:lumMod val="60000"/>
                    <a:lumOff val="40000"/>
                  </a:schemeClr>
                </a:gs>
                <a:gs pos="0">
                  <a:schemeClr val="accent5">
                    <a:lumMod val="60000"/>
                    <a:lumOff val="40000"/>
                  </a:schemeClr>
                </a:gs>
                <a:gs pos="74000">
                  <a:schemeClr val="accent1">
                    <a:lumMod val="20000"/>
                    <a:lumOff val="80000"/>
                  </a:schemeClr>
                </a:gs>
                <a:gs pos="83000">
                  <a:schemeClr val="accent1">
                    <a:lumMod val="75000"/>
                  </a:schemeClr>
                </a:gs>
                <a:gs pos="90259">
                  <a:srgbClr val="768FB8"/>
                </a:gs>
                <a:gs pos="100000">
                  <a:schemeClr val="tx2">
                    <a:lumMod val="20000"/>
                    <a:lumOff val="80000"/>
                  </a:schemeClr>
                </a:gs>
              </a:gsLst>
              <a:lin ang="5400000" scaled="1"/>
            </a:gradFill>
          </c:spPr>
          <c:dPt>
            <c:idx val="0"/>
            <c:bubble3D val="0"/>
            <c:explosion val="1"/>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0BED-418F-BB76-D56E2FED0ED6}"/>
              </c:ext>
            </c:extLst>
          </c:dPt>
          <c:dPt>
            <c:idx val="1"/>
            <c:bubble3D val="0"/>
            <c:spPr>
              <a:gradFill>
                <a:gsLst>
                  <a:gs pos="56000">
                    <a:schemeClr val="accent1">
                      <a:lumMod val="60000"/>
                      <a:lumOff val="40000"/>
                    </a:schemeClr>
                  </a:gs>
                  <a:gs pos="0">
                    <a:schemeClr val="accent5">
                      <a:lumMod val="60000"/>
                      <a:lumOff val="40000"/>
                    </a:schemeClr>
                  </a:gs>
                  <a:gs pos="40000">
                    <a:schemeClr val="accent1">
                      <a:lumMod val="20000"/>
                      <a:lumOff val="80000"/>
                    </a:schemeClr>
                  </a:gs>
                  <a:gs pos="65000">
                    <a:schemeClr val="accent1">
                      <a:lumMod val="75000"/>
                    </a:schemeClr>
                  </a:gs>
                  <a:gs pos="90259">
                    <a:srgbClr val="768FB8"/>
                  </a:gs>
                  <a:gs pos="100000">
                    <a:schemeClr val="tx2">
                      <a:lumMod val="20000"/>
                      <a:lumOff val="80000"/>
                    </a:schemeClr>
                  </a:gs>
                </a:gsLst>
                <a:lin ang="5400000" scaled="1"/>
              </a:gradFill>
              <a:ln w="19050">
                <a:solidFill>
                  <a:schemeClr val="lt1"/>
                </a:solidFill>
              </a:ln>
              <a:effectLst/>
            </c:spPr>
            <c:extLst>
              <c:ext xmlns:c16="http://schemas.microsoft.com/office/drawing/2014/chart" uri="{C3380CC4-5D6E-409C-BE32-E72D297353CC}">
                <c16:uniqueId val="{00000003-0BED-418F-BB76-D56E2FED0ED6}"/>
              </c:ext>
            </c:extLst>
          </c:dPt>
          <c:val>
            <c:numRef>
              <c:f>'gender '!$C$8:$C$9</c:f>
              <c:numCache>
                <c:formatCode>0%</c:formatCode>
                <c:ptCount val="2"/>
                <c:pt idx="0">
                  <c:v>0.52600000000000002</c:v>
                </c:pt>
                <c:pt idx="1">
                  <c:v>0.47399999999999998</c:v>
                </c:pt>
              </c:numCache>
            </c:numRef>
          </c:val>
          <c:extLst>
            <c:ext xmlns:c16="http://schemas.microsoft.com/office/drawing/2014/chart" uri="{C3380CC4-5D6E-409C-BE32-E72D297353CC}">
              <c16:uniqueId val="{00000004-0BED-418F-BB76-D56E2FED0ED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 DONE.xlsx]EDUCATION BY ATTRITION !PivotTable1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'!$A$4:$A$9</c:f>
              <c:strCache>
                <c:ptCount val="5"/>
                <c:pt idx="0">
                  <c:v>1</c:v>
                </c:pt>
                <c:pt idx="1">
                  <c:v>4</c:v>
                </c:pt>
                <c:pt idx="2">
                  <c:v>3</c:v>
                </c:pt>
                <c:pt idx="3">
                  <c:v>2</c:v>
                </c:pt>
                <c:pt idx="4">
                  <c:v>5</c:v>
                </c:pt>
              </c:strCache>
            </c:strRef>
          </c:cat>
          <c:val>
            <c:numRef>
              <c:f>'EDUCATION BY ATTRITION '!$B$4:$B$9</c:f>
              <c:numCache>
                <c:formatCode>General</c:formatCode>
                <c:ptCount val="5"/>
                <c:pt idx="0">
                  <c:v>22</c:v>
                </c:pt>
                <c:pt idx="1">
                  <c:v>24</c:v>
                </c:pt>
                <c:pt idx="2">
                  <c:v>29</c:v>
                </c:pt>
                <c:pt idx="3">
                  <c:v>33</c:v>
                </c:pt>
                <c:pt idx="4">
                  <c:v>38</c:v>
                </c:pt>
              </c:numCache>
            </c:numRef>
          </c:val>
          <c:extLst>
            <c:ext xmlns:c16="http://schemas.microsoft.com/office/drawing/2014/chart" uri="{C3380CC4-5D6E-409C-BE32-E72D297353CC}">
              <c16:uniqueId val="{00000000-3C8D-44F9-ABD9-032B6CECFE5A}"/>
            </c:ext>
          </c:extLst>
        </c:ser>
        <c:dLbls>
          <c:dLblPos val="outEnd"/>
          <c:showLegendKey val="0"/>
          <c:showVal val="1"/>
          <c:showCatName val="0"/>
          <c:showSerName val="0"/>
          <c:showPercent val="0"/>
          <c:showBubbleSize val="0"/>
        </c:dLbls>
        <c:gapWidth val="182"/>
        <c:axId val="85266031"/>
        <c:axId val="85267279"/>
      </c:barChart>
      <c:catAx>
        <c:axId val="8526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7279"/>
        <c:crosses val="autoZero"/>
        <c:auto val="1"/>
        <c:lblAlgn val="ctr"/>
        <c:lblOffset val="100"/>
        <c:noMultiLvlLbl val="0"/>
      </c:catAx>
      <c:valAx>
        <c:axId val="8526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 DONE.xlsx]DEPARTMENT WISE ATTRITION!PivotTable3</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noFill/>
          </a:ln>
          <a:effectLst/>
        </c:spPr>
      </c:pivotFmt>
      <c:pivotFmt>
        <c:idx val="2"/>
        <c:spPr>
          <a:solidFill>
            <a:srgbClr val="00B0F0"/>
          </a:solidFill>
          <a:ln w="19050">
            <a:noFill/>
          </a:ln>
          <a:effectLst/>
        </c:spPr>
      </c:pivotFmt>
      <c:pivotFmt>
        <c:idx val="3"/>
        <c:spPr>
          <a:solidFill>
            <a:srgbClr val="00B050"/>
          </a:solidFill>
          <a:ln w="19050">
            <a:noFill/>
          </a:ln>
          <a:effectLst/>
        </c:spPr>
      </c:pivotFmt>
      <c:pivotFmt>
        <c:idx val="4"/>
        <c:spPr>
          <a:solidFill>
            <a:srgbClr val="0070C0"/>
          </a:solidFill>
          <a:ln w="19050">
            <a:noFill/>
          </a:ln>
          <a:effectLst/>
        </c:spPr>
      </c:pivotFmt>
      <c:pivotFmt>
        <c:idx val="5"/>
        <c:spPr>
          <a:solidFill>
            <a:srgbClr val="FFFF00"/>
          </a:solidFill>
          <a:ln w="19050">
            <a:noFill/>
          </a:ln>
          <a:effectLst/>
        </c:spPr>
      </c:pivotFmt>
      <c:pivotFmt>
        <c:idx val="6"/>
        <c:spPr>
          <a:solidFill>
            <a:schemeClr val="bg1">
              <a:lumMod val="50000"/>
            </a:schemeClr>
          </a:solidFill>
          <a:ln w="19050">
            <a:noFill/>
          </a:ln>
          <a:effectLst/>
        </c:spPr>
      </c:pivotFmt>
    </c:pivotFmts>
    <c:plotArea>
      <c:layout/>
      <c:pieChart>
        <c:varyColors val="1"/>
        <c:ser>
          <c:idx val="0"/>
          <c:order val="0"/>
          <c:tx>
            <c:strRef>
              <c:f>'DEPARTMENT WISE ATTRITION'!$B$3</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3-9B88-40CB-AB9A-1B14F2E037F3}"/>
              </c:ext>
            </c:extLst>
          </c:dPt>
          <c:dPt>
            <c:idx val="1"/>
            <c:bubble3D val="0"/>
            <c:spPr>
              <a:solidFill>
                <a:srgbClr val="FF0000"/>
              </a:solidFill>
              <a:ln w="19050">
                <a:noFill/>
              </a:ln>
              <a:effectLst/>
            </c:spPr>
            <c:extLst>
              <c:ext xmlns:c16="http://schemas.microsoft.com/office/drawing/2014/chart" uri="{C3380CC4-5D6E-409C-BE32-E72D297353CC}">
                <c16:uniqueId val="{00000002-9B88-40CB-AB9A-1B14F2E037F3}"/>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7-9B88-40CB-AB9A-1B14F2E037F3}"/>
              </c:ext>
            </c:extLst>
          </c:dPt>
          <c:dPt>
            <c:idx val="3"/>
            <c:bubble3D val="0"/>
            <c:spPr>
              <a:solidFill>
                <a:srgbClr val="FFFF00"/>
              </a:solidFill>
              <a:ln w="19050">
                <a:noFill/>
              </a:ln>
              <a:effectLst/>
            </c:spPr>
            <c:extLst>
              <c:ext xmlns:c16="http://schemas.microsoft.com/office/drawing/2014/chart" uri="{C3380CC4-5D6E-409C-BE32-E72D297353CC}">
                <c16:uniqueId val="{00000006-9B88-40CB-AB9A-1B14F2E037F3}"/>
              </c:ext>
            </c:extLst>
          </c:dPt>
          <c:dPt>
            <c:idx val="4"/>
            <c:bubble3D val="0"/>
            <c:spPr>
              <a:solidFill>
                <a:srgbClr val="0070C0"/>
              </a:solidFill>
              <a:ln w="19050">
                <a:noFill/>
              </a:ln>
              <a:effectLst/>
            </c:spPr>
            <c:extLst>
              <c:ext xmlns:c16="http://schemas.microsoft.com/office/drawing/2014/chart" uri="{C3380CC4-5D6E-409C-BE32-E72D297353CC}">
                <c16:uniqueId val="{00000005-9B88-40CB-AB9A-1B14F2E037F3}"/>
              </c:ext>
            </c:extLst>
          </c:dPt>
          <c:dPt>
            <c:idx val="5"/>
            <c:bubble3D val="0"/>
            <c:spPr>
              <a:solidFill>
                <a:srgbClr val="00B050"/>
              </a:solidFill>
              <a:ln w="19050">
                <a:noFill/>
              </a:ln>
              <a:effectLst/>
            </c:spPr>
            <c:extLst>
              <c:ext xmlns:c16="http://schemas.microsoft.com/office/drawing/2014/chart" uri="{C3380CC4-5D6E-409C-BE32-E72D297353CC}">
                <c16:uniqueId val="{00000004-9B88-40CB-AB9A-1B14F2E037F3}"/>
              </c:ext>
            </c:extLst>
          </c:dPt>
          <c:cat>
            <c:strRef>
              <c:f>'DEPARTMENT WISE ATTRITION'!$A$4:$A$10</c:f>
              <c:strCache>
                <c:ptCount val="6"/>
                <c:pt idx="0">
                  <c:v>Finance</c:v>
                </c:pt>
                <c:pt idx="1">
                  <c:v>HR</c:v>
                </c:pt>
                <c:pt idx="2">
                  <c:v>IT</c:v>
                </c:pt>
                <c:pt idx="3">
                  <c:v>Marketing</c:v>
                </c:pt>
                <c:pt idx="4">
                  <c:v>R&amp;D</c:v>
                </c:pt>
                <c:pt idx="5">
                  <c:v>Sales</c:v>
                </c:pt>
              </c:strCache>
            </c:strRef>
          </c:cat>
          <c:val>
            <c:numRef>
              <c:f>'DEPARTMENT WISE ATTRITION'!$B$4:$B$10</c:f>
              <c:numCache>
                <c:formatCode>0.00%</c:formatCode>
                <c:ptCount val="6"/>
                <c:pt idx="0">
                  <c:v>0.13698630136986301</c:v>
                </c:pt>
                <c:pt idx="1">
                  <c:v>0.19178082191780821</c:v>
                </c:pt>
                <c:pt idx="2">
                  <c:v>0.22602739726027396</c:v>
                </c:pt>
                <c:pt idx="3">
                  <c:v>0.10273972602739725</c:v>
                </c:pt>
                <c:pt idx="4">
                  <c:v>0.14383561643835616</c:v>
                </c:pt>
                <c:pt idx="5">
                  <c:v>0.19863013698630136</c:v>
                </c:pt>
              </c:numCache>
            </c:numRef>
          </c:val>
          <c:extLst>
            <c:ext xmlns:c16="http://schemas.microsoft.com/office/drawing/2014/chart" uri="{C3380CC4-5D6E-409C-BE32-E72D297353CC}">
              <c16:uniqueId val="{00000000-9B88-40CB-AB9A-1B14F2E037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 DONE.xlsx]ATTRITION BY AGE GROUP!AGE GROUP ATTRITION </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Under 25</c:v>
                </c:pt>
                <c:pt idx="4">
                  <c:v>Over 55</c:v>
                </c:pt>
              </c:strCache>
            </c:strRef>
          </c:cat>
          <c:val>
            <c:numRef>
              <c:f>'ATTRITION BY AGE GROUP'!$B$4:$B$9</c:f>
              <c:numCache>
                <c:formatCode>General</c:formatCode>
                <c:ptCount val="5"/>
                <c:pt idx="0">
                  <c:v>50</c:v>
                </c:pt>
                <c:pt idx="1">
                  <c:v>45</c:v>
                </c:pt>
                <c:pt idx="2">
                  <c:v>31</c:v>
                </c:pt>
                <c:pt idx="3">
                  <c:v>10</c:v>
                </c:pt>
                <c:pt idx="4">
                  <c:v>10</c:v>
                </c:pt>
              </c:numCache>
            </c:numRef>
          </c:val>
          <c:extLst>
            <c:ext xmlns:c16="http://schemas.microsoft.com/office/drawing/2014/chart" uri="{C3380CC4-5D6E-409C-BE32-E72D297353CC}">
              <c16:uniqueId val="{00000000-1DDE-4EC1-89EB-B1EDBEA7ABB3}"/>
            </c:ext>
          </c:extLst>
        </c:ser>
        <c:dLbls>
          <c:dLblPos val="outEnd"/>
          <c:showLegendKey val="0"/>
          <c:showVal val="1"/>
          <c:showCatName val="0"/>
          <c:showSerName val="0"/>
          <c:showPercent val="0"/>
          <c:showBubbleSize val="0"/>
        </c:dLbls>
        <c:gapWidth val="219"/>
        <c:overlap val="-27"/>
        <c:axId val="849176799"/>
        <c:axId val="849177631"/>
      </c:barChart>
      <c:catAx>
        <c:axId val="84917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177631"/>
        <c:crosses val="autoZero"/>
        <c:auto val="1"/>
        <c:lblAlgn val="ctr"/>
        <c:lblOffset val="100"/>
        <c:noMultiLvlLbl val="0"/>
      </c:catAx>
      <c:valAx>
        <c:axId val="84917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17679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4995443271279"/>
          <c:y val="0.13114754098360656"/>
          <c:w val="0.66203800238845489"/>
          <c:h val="0.78142076502732238"/>
        </c:manualLayout>
      </c:layout>
      <c:doughnutChart>
        <c:varyColors val="0"/>
        <c:ser>
          <c:idx val="0"/>
          <c:order val="0"/>
          <c:spPr>
            <a:gradFill>
              <a:gsLst>
                <a:gs pos="0">
                  <a:schemeClr val="accent1">
                    <a:lumMod val="5000"/>
                    <a:lumOff val="95000"/>
                  </a:schemeClr>
                </a:gs>
                <a:gs pos="74000">
                  <a:schemeClr val="accent1">
                    <a:lumMod val="75000"/>
                  </a:schemeClr>
                </a:gs>
                <a:gs pos="83000">
                  <a:srgbClr val="FF0000"/>
                </a:gs>
                <a:gs pos="100000">
                  <a:srgbClr val="00B050"/>
                </a:gs>
              </a:gsLst>
              <a:lin ang="5400000" scaled="1"/>
            </a:gradFill>
            <a:ln w="19050">
              <a:solidFill>
                <a:schemeClr val="lt1"/>
              </a:solidFill>
            </a:ln>
            <a:effectLst/>
          </c:spPr>
          <c:dPt>
            <c:idx val="0"/>
            <c:bubble3D val="0"/>
            <c:explosion val="9"/>
            <c:extLst>
              <c:ext xmlns:c16="http://schemas.microsoft.com/office/drawing/2014/chart" uri="{C3380CC4-5D6E-409C-BE32-E72D297353CC}">
                <c16:uniqueId val="{00000001-1766-4435-8AD9-603E7D587BD4}"/>
              </c:ext>
            </c:extLst>
          </c:dPt>
          <c:dPt>
            <c:idx val="1"/>
            <c:bubble3D val="0"/>
            <c:explosion val="11"/>
            <c:spPr>
              <a:gradFill>
                <a:gsLst>
                  <a:gs pos="0">
                    <a:schemeClr val="bg1"/>
                  </a:gs>
                  <a:gs pos="74000">
                    <a:schemeClr val="bg1"/>
                  </a:gs>
                  <a:gs pos="83000">
                    <a:schemeClr val="bg1"/>
                  </a:gs>
                  <a:gs pos="100000">
                    <a:schemeClr val="bg1"/>
                  </a:gs>
                </a:gsLst>
                <a:lin ang="5400000" scaled="1"/>
              </a:gradFill>
              <a:ln w="19050">
                <a:solidFill>
                  <a:schemeClr val="lt1"/>
                </a:solidFill>
              </a:ln>
              <a:effectLst/>
            </c:spPr>
            <c:extLst>
              <c:ext xmlns:c16="http://schemas.microsoft.com/office/drawing/2014/chart" uri="{C3380CC4-5D6E-409C-BE32-E72D297353CC}">
                <c16:uniqueId val="{00000003-1766-4435-8AD9-603E7D587BD4}"/>
              </c:ext>
            </c:extLst>
          </c:dPt>
          <c:val>
            <c:numRef>
              <c:f>'RATING '!$C$6:$C$7</c:f>
              <c:numCache>
                <c:formatCode>General</c:formatCode>
                <c:ptCount val="2"/>
                <c:pt idx="0">
                  <c:v>0.62357414448669202</c:v>
                </c:pt>
                <c:pt idx="1">
                  <c:v>0.37642585551330798</c:v>
                </c:pt>
              </c:numCache>
            </c:numRef>
          </c:val>
          <c:extLst>
            <c:ext xmlns:c16="http://schemas.microsoft.com/office/drawing/2014/chart" uri="{C3380CC4-5D6E-409C-BE32-E72D297353CC}">
              <c16:uniqueId val="{00000004-1766-4435-8AD9-603E7D587BD4}"/>
            </c:ext>
          </c:extLst>
        </c:ser>
        <c:dLbls>
          <c:showLegendKey val="0"/>
          <c:showVal val="0"/>
          <c:showCatName val="0"/>
          <c:showSerName val="0"/>
          <c:showPercent val="0"/>
          <c:showBubbleSize val="0"/>
          <c:showLeaderLines val="1"/>
        </c:dLbls>
        <c:firstSliceAng val="0"/>
        <c:holeSize val="5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4.1666666666666664E-2"/>
          <c:w val="0.93888888888888888"/>
          <c:h val="0.89814814814814814"/>
        </c:manualLayout>
      </c:layout>
      <c:barChart>
        <c:barDir val="bar"/>
        <c:grouping val="stacked"/>
        <c:varyColors val="0"/>
        <c:ser>
          <c:idx val="0"/>
          <c:order val="0"/>
          <c:spPr>
            <a:solidFill>
              <a:schemeClr val="accent2"/>
            </a:solidFill>
            <a:ln>
              <a:noFill/>
            </a:ln>
            <a:effectLst/>
          </c:spPr>
          <c:invertIfNegative val="0"/>
          <c:val>
            <c:numRef>
              <c:f>'RATING '!$B$6</c:f>
              <c:numCache>
                <c:formatCode>0.0</c:formatCode>
                <c:ptCount val="1"/>
                <c:pt idx="0">
                  <c:v>2.4942965779467681</c:v>
                </c:pt>
              </c:numCache>
            </c:numRef>
          </c:val>
          <c:extLst>
            <c:ext xmlns:c16="http://schemas.microsoft.com/office/drawing/2014/chart" uri="{C3380CC4-5D6E-409C-BE32-E72D297353CC}">
              <c16:uniqueId val="{00000000-D03D-415B-A7D1-49E16930BF04}"/>
            </c:ext>
          </c:extLst>
        </c:ser>
        <c:ser>
          <c:idx val="1"/>
          <c:order val="1"/>
          <c:spPr>
            <a:solidFill>
              <a:schemeClr val="bg1"/>
            </a:solidFill>
            <a:ln>
              <a:noFill/>
            </a:ln>
            <a:effectLst/>
          </c:spPr>
          <c:invertIfNegative val="0"/>
          <c:val>
            <c:numRef>
              <c:f>'RATING '!$B$7</c:f>
              <c:numCache>
                <c:formatCode>0.0</c:formatCode>
                <c:ptCount val="1"/>
                <c:pt idx="0">
                  <c:v>1.5057034220532319</c:v>
                </c:pt>
              </c:numCache>
            </c:numRef>
          </c:val>
          <c:extLst>
            <c:ext xmlns:c16="http://schemas.microsoft.com/office/drawing/2014/chart" uri="{C3380CC4-5D6E-409C-BE32-E72D297353CC}">
              <c16:uniqueId val="{00000001-D03D-415B-A7D1-49E16930BF04}"/>
            </c:ext>
          </c:extLst>
        </c:ser>
        <c:dLbls>
          <c:showLegendKey val="0"/>
          <c:showVal val="0"/>
          <c:showCatName val="0"/>
          <c:showSerName val="0"/>
          <c:showPercent val="0"/>
          <c:showBubbleSize val="0"/>
        </c:dLbls>
        <c:gapWidth val="0"/>
        <c:overlap val="100"/>
        <c:axId val="1875602160"/>
        <c:axId val="1875585520"/>
      </c:barChart>
      <c:catAx>
        <c:axId val="1875602160"/>
        <c:scaling>
          <c:orientation val="minMax"/>
        </c:scaling>
        <c:delete val="1"/>
        <c:axPos val="l"/>
        <c:majorTickMark val="none"/>
        <c:minorTickMark val="none"/>
        <c:tickLblPos val="nextTo"/>
        <c:crossAx val="1875585520"/>
        <c:crosses val="autoZero"/>
        <c:auto val="1"/>
        <c:lblAlgn val="ctr"/>
        <c:lblOffset val="100"/>
        <c:noMultiLvlLbl val="0"/>
      </c:catAx>
      <c:valAx>
        <c:axId val="1875585520"/>
        <c:scaling>
          <c:orientation val="minMax"/>
          <c:max val="4"/>
        </c:scaling>
        <c:delete val="1"/>
        <c:axPos val="b"/>
        <c:numFmt formatCode="0.0" sourceLinked="1"/>
        <c:majorTickMark val="none"/>
        <c:minorTickMark val="none"/>
        <c:tickLblPos val="nextTo"/>
        <c:crossAx val="18756021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08452987494208"/>
          <c:y val="0.19234543598716827"/>
          <c:w val="0.63586122824694302"/>
          <c:h val="0.82059129103637107"/>
        </c:manualLayout>
      </c:layout>
      <c:doughnutChart>
        <c:varyColors val="0"/>
        <c:ser>
          <c:idx val="0"/>
          <c:order val="0"/>
          <c:spPr>
            <a:gradFill>
              <a:gsLst>
                <a:gs pos="70000">
                  <a:srgbClr val="BF23A1"/>
                </a:gs>
                <a:gs pos="0">
                  <a:srgbClr val="FF0000"/>
                </a:gs>
                <a:gs pos="74000">
                  <a:srgbClr val="CE0C2C"/>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Pt>
            <c:idx val="0"/>
            <c:bubble3D val="0"/>
            <c:spPr>
              <a:gradFill>
                <a:gsLst>
                  <a:gs pos="70000">
                    <a:srgbClr val="BF23A1"/>
                  </a:gs>
                  <a:gs pos="0">
                    <a:srgbClr val="FF3399"/>
                  </a:gs>
                  <a:gs pos="52000">
                    <a:srgbClr val="FF3399"/>
                  </a:gs>
                  <a:gs pos="92027">
                    <a:srgbClr val="DABCE5"/>
                  </a:gs>
                  <a:gs pos="36000">
                    <a:srgbClr val="F0A0DB"/>
                  </a:gs>
                  <a:gs pos="100000">
                    <a:srgbClr val="FF3399"/>
                  </a:gs>
                </a:gsLst>
                <a:lin ang="5400000" scaled="1"/>
              </a:gradFill>
              <a:ln w="19050">
                <a:solidFill>
                  <a:schemeClr val="lt1"/>
                </a:solidFill>
              </a:ln>
              <a:effectLst/>
            </c:spPr>
            <c:extLst>
              <c:ext xmlns:c16="http://schemas.microsoft.com/office/drawing/2014/chart" uri="{C3380CC4-5D6E-409C-BE32-E72D297353CC}">
                <c16:uniqueId val="{00000001-2C6D-40D2-8844-44C460B5E45B}"/>
              </c:ext>
            </c:extLst>
          </c:dPt>
          <c:dPt>
            <c:idx val="1"/>
            <c:bubble3D val="0"/>
            <c:spPr>
              <a:gradFill>
                <a:gsLst>
                  <a:gs pos="56000">
                    <a:srgbClr val="FB7171"/>
                  </a:gs>
                  <a:gs pos="0">
                    <a:srgbClr val="FF0000"/>
                  </a:gs>
                  <a:gs pos="74000">
                    <a:srgbClr val="CE0C2C"/>
                  </a:gs>
                  <a:gs pos="83000">
                    <a:srgbClr val="F73B48"/>
                  </a:gs>
                  <a:gs pos="100000">
                    <a:srgbClr val="FEF4FB"/>
                  </a:gs>
                </a:gsLst>
                <a:lin ang="5400000" scaled="1"/>
              </a:gradFill>
              <a:ln w="19050">
                <a:solidFill>
                  <a:schemeClr val="lt1"/>
                </a:solidFill>
              </a:ln>
              <a:effectLst/>
            </c:spPr>
            <c:extLst>
              <c:ext xmlns:c16="http://schemas.microsoft.com/office/drawing/2014/chart" uri="{C3380CC4-5D6E-409C-BE32-E72D297353CC}">
                <c16:uniqueId val="{00000003-2C6D-40D2-8844-44C460B5E45B}"/>
              </c:ext>
            </c:extLst>
          </c:dPt>
          <c:val>
            <c:numRef>
              <c:f>'gender '!$C$8:$C$9</c:f>
              <c:numCache>
                <c:formatCode>0%</c:formatCode>
                <c:ptCount val="2"/>
                <c:pt idx="0">
                  <c:v>0.52600000000000002</c:v>
                </c:pt>
                <c:pt idx="1">
                  <c:v>0.47399999999999998</c:v>
                </c:pt>
              </c:numCache>
            </c:numRef>
          </c:val>
          <c:extLst>
            <c:ext xmlns:c16="http://schemas.microsoft.com/office/drawing/2014/chart" uri="{C3380CC4-5D6E-409C-BE32-E72D297353CC}">
              <c16:uniqueId val="{00000004-2C6D-40D2-8844-44C460B5E45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599763264886"/>
          <c:y val="0.1227981918926801"/>
          <c:w val="0.63586122824694302"/>
          <c:h val="0.82059129103637107"/>
        </c:manualLayout>
      </c:layout>
      <c:doughnutChart>
        <c:varyColors val="1"/>
        <c:ser>
          <c:idx val="0"/>
          <c:order val="0"/>
          <c:spPr>
            <a:gradFill>
              <a:gsLst>
                <a:gs pos="56000">
                  <a:schemeClr val="accent1">
                    <a:lumMod val="60000"/>
                    <a:lumOff val="40000"/>
                  </a:schemeClr>
                </a:gs>
                <a:gs pos="0">
                  <a:schemeClr val="accent5">
                    <a:lumMod val="60000"/>
                    <a:lumOff val="40000"/>
                  </a:schemeClr>
                </a:gs>
                <a:gs pos="74000">
                  <a:schemeClr val="accent1">
                    <a:lumMod val="20000"/>
                    <a:lumOff val="80000"/>
                  </a:schemeClr>
                </a:gs>
                <a:gs pos="83000">
                  <a:schemeClr val="accent1">
                    <a:lumMod val="75000"/>
                  </a:schemeClr>
                </a:gs>
                <a:gs pos="90259">
                  <a:srgbClr val="768FB8"/>
                </a:gs>
                <a:gs pos="100000">
                  <a:schemeClr val="tx2">
                    <a:lumMod val="20000"/>
                    <a:lumOff val="80000"/>
                  </a:schemeClr>
                </a:gs>
              </a:gsLst>
              <a:lin ang="5400000" scaled="1"/>
            </a:gra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AA5B-474E-99CB-23D339FE3E94}"/>
              </c:ext>
            </c:extLst>
          </c:dPt>
          <c:dPt>
            <c:idx val="1"/>
            <c:bubble3D val="0"/>
            <c:spPr>
              <a:gradFill>
                <a:gsLst>
                  <a:gs pos="56000">
                    <a:schemeClr val="accent1">
                      <a:lumMod val="60000"/>
                      <a:lumOff val="40000"/>
                    </a:schemeClr>
                  </a:gs>
                  <a:gs pos="0">
                    <a:schemeClr val="accent5">
                      <a:lumMod val="60000"/>
                      <a:lumOff val="40000"/>
                    </a:schemeClr>
                  </a:gs>
                  <a:gs pos="40000">
                    <a:schemeClr val="accent1">
                      <a:lumMod val="20000"/>
                      <a:lumOff val="80000"/>
                    </a:schemeClr>
                  </a:gs>
                  <a:gs pos="65000">
                    <a:schemeClr val="accent1">
                      <a:lumMod val="75000"/>
                    </a:schemeClr>
                  </a:gs>
                  <a:gs pos="90259">
                    <a:srgbClr val="768FB8"/>
                  </a:gs>
                  <a:gs pos="100000">
                    <a:schemeClr val="tx2">
                      <a:lumMod val="20000"/>
                      <a:lumOff val="80000"/>
                    </a:schemeClr>
                  </a:gs>
                </a:gsLst>
                <a:lin ang="5400000" scaled="1"/>
              </a:gradFill>
              <a:ln w="19050">
                <a:solidFill>
                  <a:schemeClr val="lt1"/>
                </a:solidFill>
              </a:ln>
              <a:effectLst/>
            </c:spPr>
            <c:extLst>
              <c:ext xmlns:c16="http://schemas.microsoft.com/office/drawing/2014/chart" uri="{C3380CC4-5D6E-409C-BE32-E72D297353CC}">
                <c16:uniqueId val="{00000003-AA5B-474E-99CB-23D339FE3E94}"/>
              </c:ext>
            </c:extLst>
          </c:dPt>
          <c:val>
            <c:numRef>
              <c:f>'gender '!$C$8:$C$9</c:f>
              <c:numCache>
                <c:formatCode>0%</c:formatCode>
                <c:ptCount val="2"/>
                <c:pt idx="0">
                  <c:v>0.52600000000000002</c:v>
                </c:pt>
                <c:pt idx="1">
                  <c:v>0.47399999999999998</c:v>
                </c:pt>
              </c:numCache>
            </c:numRef>
          </c:val>
          <c:extLst>
            <c:ext xmlns:c16="http://schemas.microsoft.com/office/drawing/2014/chart" uri="{C3380CC4-5D6E-409C-BE32-E72D297353CC}">
              <c16:uniqueId val="{00000004-AA5B-474E-99CB-23D339FE3E9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 DONE.xlsx]EDUCATION BY ATTRITION !PivotTable1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2000">
                <a:schemeClr val="accent2"/>
              </a:gs>
              <a:gs pos="30000">
                <a:schemeClr val="accent2">
                  <a:lumMod val="40000"/>
                  <a:lumOff val="60000"/>
                </a:schemeClr>
              </a:gs>
              <a:gs pos="46000">
                <a:schemeClr val="accent2">
                  <a:lumMod val="20000"/>
                  <a:lumOff val="80000"/>
                </a:schemeClr>
              </a:gs>
              <a:gs pos="4000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69940927568743E-2"/>
          <c:y val="1.3029688654187686E-2"/>
          <c:w val="0.90286351706036749"/>
          <c:h val="0.8416746864975212"/>
        </c:manualLayout>
      </c:layout>
      <c:barChart>
        <c:barDir val="bar"/>
        <c:grouping val="clustered"/>
        <c:varyColors val="0"/>
        <c:ser>
          <c:idx val="0"/>
          <c:order val="0"/>
          <c:tx>
            <c:strRef>
              <c:f>'EDUCATION BY ATTRITION '!$B$3</c:f>
              <c:strCache>
                <c:ptCount val="1"/>
                <c:pt idx="0">
                  <c:v>Total</c:v>
                </c:pt>
              </c:strCache>
            </c:strRef>
          </c:tx>
          <c:spPr>
            <a:gradFill>
              <a:gsLst>
                <a:gs pos="22000">
                  <a:schemeClr val="accent2"/>
                </a:gs>
                <a:gs pos="30000">
                  <a:schemeClr val="accent2">
                    <a:lumMod val="40000"/>
                    <a:lumOff val="60000"/>
                  </a:schemeClr>
                </a:gs>
                <a:gs pos="46000">
                  <a:schemeClr val="accent2">
                    <a:lumMod val="20000"/>
                    <a:lumOff val="80000"/>
                  </a:schemeClr>
                </a:gs>
                <a:gs pos="40000">
                  <a:schemeClr val="accent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'!$A$4:$A$9</c:f>
              <c:strCache>
                <c:ptCount val="5"/>
                <c:pt idx="0">
                  <c:v>1</c:v>
                </c:pt>
                <c:pt idx="1">
                  <c:v>4</c:v>
                </c:pt>
                <c:pt idx="2">
                  <c:v>3</c:v>
                </c:pt>
                <c:pt idx="3">
                  <c:v>2</c:v>
                </c:pt>
                <c:pt idx="4">
                  <c:v>5</c:v>
                </c:pt>
              </c:strCache>
            </c:strRef>
          </c:cat>
          <c:val>
            <c:numRef>
              <c:f>'EDUCATION BY ATTRITION '!$B$4:$B$9</c:f>
              <c:numCache>
                <c:formatCode>General</c:formatCode>
                <c:ptCount val="5"/>
                <c:pt idx="0">
                  <c:v>22</c:v>
                </c:pt>
                <c:pt idx="1">
                  <c:v>24</c:v>
                </c:pt>
                <c:pt idx="2">
                  <c:v>29</c:v>
                </c:pt>
                <c:pt idx="3">
                  <c:v>33</c:v>
                </c:pt>
                <c:pt idx="4">
                  <c:v>38</c:v>
                </c:pt>
              </c:numCache>
            </c:numRef>
          </c:val>
          <c:extLst>
            <c:ext xmlns:c16="http://schemas.microsoft.com/office/drawing/2014/chart" uri="{C3380CC4-5D6E-409C-BE32-E72D297353CC}">
              <c16:uniqueId val="{00000000-51A2-49A1-B164-7B1CF1845256}"/>
            </c:ext>
          </c:extLst>
        </c:ser>
        <c:dLbls>
          <c:dLblPos val="outEnd"/>
          <c:showLegendKey val="0"/>
          <c:showVal val="1"/>
          <c:showCatName val="0"/>
          <c:showSerName val="0"/>
          <c:showPercent val="0"/>
          <c:showBubbleSize val="0"/>
        </c:dLbls>
        <c:gapWidth val="85"/>
        <c:axId val="85266031"/>
        <c:axId val="85267279"/>
      </c:barChart>
      <c:catAx>
        <c:axId val="8526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85267279"/>
        <c:crosses val="autoZero"/>
        <c:auto val="1"/>
        <c:lblAlgn val="ctr"/>
        <c:lblOffset val="100"/>
        <c:noMultiLvlLbl val="0"/>
      </c:catAx>
      <c:valAx>
        <c:axId val="85267279"/>
        <c:scaling>
          <c:orientation val="minMax"/>
        </c:scaling>
        <c:delete val="1"/>
        <c:axPos val="b"/>
        <c:numFmt formatCode="General" sourceLinked="1"/>
        <c:majorTickMark val="none"/>
        <c:minorTickMark val="none"/>
        <c:tickLblPos val="nextTo"/>
        <c:crossAx val="8526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 DONE.xlsx]DEPARTMENT WISE ATTRITION!PivotTable3</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noFill/>
          </a:ln>
          <a:effectLst/>
        </c:spPr>
      </c:pivotFmt>
      <c:pivotFmt>
        <c:idx val="2"/>
        <c:spPr>
          <a:solidFill>
            <a:srgbClr val="00B0F0"/>
          </a:solidFill>
          <a:ln w="19050">
            <a:noFill/>
          </a:ln>
          <a:effectLst/>
        </c:spPr>
      </c:pivotFmt>
      <c:pivotFmt>
        <c:idx val="3"/>
        <c:spPr>
          <a:solidFill>
            <a:srgbClr val="00B050"/>
          </a:solidFill>
          <a:ln w="19050">
            <a:noFill/>
          </a:ln>
          <a:effectLst/>
        </c:spPr>
      </c:pivotFmt>
      <c:pivotFmt>
        <c:idx val="4"/>
        <c:spPr>
          <a:solidFill>
            <a:srgbClr val="0070C0"/>
          </a:solidFill>
          <a:ln w="19050">
            <a:noFill/>
          </a:ln>
          <a:effectLst/>
        </c:spPr>
      </c:pivotFmt>
      <c:pivotFmt>
        <c:idx val="5"/>
        <c:spPr>
          <a:solidFill>
            <a:srgbClr val="FFFF00"/>
          </a:solidFill>
          <a:ln w="19050">
            <a:noFill/>
          </a:ln>
          <a:effectLst/>
        </c:spPr>
      </c:pivotFmt>
      <c:pivotFmt>
        <c:idx val="6"/>
        <c:spPr>
          <a:solidFill>
            <a:schemeClr val="bg1">
              <a:lumMod val="50000"/>
            </a:schemeClr>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w="19050">
            <a:noFill/>
          </a:ln>
          <a:effectLst/>
        </c:spPr>
      </c:pivotFmt>
      <c:pivotFmt>
        <c:idx val="9"/>
        <c:spPr>
          <a:solidFill>
            <a:srgbClr val="FF0000"/>
          </a:solidFill>
          <a:ln w="19050">
            <a:noFill/>
          </a:ln>
          <a:effectLst/>
        </c:spPr>
      </c:pivotFmt>
      <c:pivotFmt>
        <c:idx val="10"/>
        <c:spPr>
          <a:solidFill>
            <a:schemeClr val="bg1">
              <a:lumMod val="50000"/>
            </a:schemeClr>
          </a:solidFill>
          <a:ln w="19050">
            <a:noFill/>
          </a:ln>
          <a:effectLst/>
        </c:spPr>
      </c:pivotFmt>
      <c:pivotFmt>
        <c:idx val="11"/>
        <c:spPr>
          <a:solidFill>
            <a:srgbClr val="FFFF00"/>
          </a:solidFill>
          <a:ln w="19050">
            <a:noFill/>
          </a:ln>
          <a:effectLst/>
        </c:spPr>
      </c:pivotFmt>
      <c:pivotFmt>
        <c:idx val="12"/>
        <c:spPr>
          <a:solidFill>
            <a:srgbClr val="0070C0"/>
          </a:solidFill>
          <a:ln w="19050">
            <a:noFill/>
          </a:ln>
          <a:effectLst/>
        </c:spPr>
      </c:pivotFmt>
      <c:pivotFmt>
        <c:idx val="13"/>
        <c:spPr>
          <a:solidFill>
            <a:srgbClr val="00B050"/>
          </a:solidFill>
          <a:ln w="19050">
            <a:no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F0"/>
          </a:solidFill>
          <a:ln w="19050">
            <a:noFill/>
          </a:ln>
          <a:effectLst/>
        </c:spPr>
      </c:pivotFmt>
      <c:pivotFmt>
        <c:idx val="16"/>
        <c:spPr>
          <a:solidFill>
            <a:srgbClr val="FF0000"/>
          </a:solidFill>
          <a:ln w="19050">
            <a:noFill/>
          </a:ln>
          <a:effectLst/>
        </c:spPr>
      </c:pivotFmt>
      <c:pivotFmt>
        <c:idx val="17"/>
        <c:spPr>
          <a:solidFill>
            <a:schemeClr val="bg1">
              <a:lumMod val="50000"/>
            </a:schemeClr>
          </a:solidFill>
          <a:ln w="19050">
            <a:noFill/>
          </a:ln>
          <a:effectLst/>
        </c:spPr>
        <c:dLbl>
          <c:idx val="0"/>
          <c:layout>
            <c:manualLayout>
              <c:x val="-8.3041393568820662E-2"/>
              <c:y val="-0.213368893404453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F00"/>
          </a:solidFill>
          <a:ln w="19050">
            <a:noFill/>
          </a:ln>
          <a:effectLst/>
        </c:spPr>
        <c:dLbl>
          <c:idx val="0"/>
          <c:layout>
            <c:manualLayout>
              <c:x val="0.10225868414492881"/>
              <c:y val="-0.159450230011571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w="19050">
            <a:noFill/>
          </a:ln>
          <a:effectLst/>
        </c:spPr>
      </c:pivotFmt>
      <c:pivotFmt>
        <c:idx val="20"/>
        <c:spPr>
          <a:solidFill>
            <a:srgbClr val="00B050"/>
          </a:solidFill>
          <a:ln w="19050">
            <a:noFill/>
          </a:ln>
          <a:effectLst/>
        </c:spPr>
      </c:pivotFmt>
    </c:pivotFmts>
    <c:plotArea>
      <c:layout>
        <c:manualLayout>
          <c:layoutTarget val="inner"/>
          <c:xMode val="edge"/>
          <c:yMode val="edge"/>
          <c:x val="7.3925864530091631E-2"/>
          <c:y val="7.407407407407407E-2"/>
          <c:w val="0.59181286549707601"/>
          <c:h val="0.85185185185185186"/>
        </c:manualLayout>
      </c:layout>
      <c:pieChart>
        <c:varyColors val="1"/>
        <c:ser>
          <c:idx val="0"/>
          <c:order val="0"/>
          <c:tx>
            <c:strRef>
              <c:f>'DEPARTMENT WISE ATTRITION'!$B$3</c:f>
              <c:strCache>
                <c:ptCount val="1"/>
                <c:pt idx="0">
                  <c:v>Total</c:v>
                </c:pt>
              </c:strCache>
            </c:strRef>
          </c:tx>
          <c:spPr>
            <a:ln>
              <a:noFill/>
            </a:ln>
          </c:spPr>
          <c:explosion val="2"/>
          <c:dPt>
            <c:idx val="0"/>
            <c:bubble3D val="0"/>
            <c:spPr>
              <a:solidFill>
                <a:srgbClr val="00B0F0"/>
              </a:solidFill>
              <a:ln w="19050">
                <a:noFill/>
              </a:ln>
              <a:effectLst/>
            </c:spPr>
            <c:extLst>
              <c:ext xmlns:c16="http://schemas.microsoft.com/office/drawing/2014/chart" uri="{C3380CC4-5D6E-409C-BE32-E72D297353CC}">
                <c16:uniqueId val="{00000001-558A-4071-A232-D13F0A38C37D}"/>
              </c:ext>
            </c:extLst>
          </c:dPt>
          <c:dPt>
            <c:idx val="1"/>
            <c:bubble3D val="0"/>
            <c:spPr>
              <a:solidFill>
                <a:srgbClr val="FF0000"/>
              </a:solidFill>
              <a:ln w="19050">
                <a:noFill/>
              </a:ln>
              <a:effectLst/>
            </c:spPr>
            <c:extLst>
              <c:ext xmlns:c16="http://schemas.microsoft.com/office/drawing/2014/chart" uri="{C3380CC4-5D6E-409C-BE32-E72D297353CC}">
                <c16:uniqueId val="{00000003-558A-4071-A232-D13F0A38C37D}"/>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558A-4071-A232-D13F0A38C37D}"/>
              </c:ext>
            </c:extLst>
          </c:dPt>
          <c:dPt>
            <c:idx val="3"/>
            <c:bubble3D val="0"/>
            <c:spPr>
              <a:solidFill>
                <a:srgbClr val="FFFF00"/>
              </a:solidFill>
              <a:ln w="19050">
                <a:noFill/>
              </a:ln>
              <a:effectLst/>
            </c:spPr>
            <c:extLst>
              <c:ext xmlns:c16="http://schemas.microsoft.com/office/drawing/2014/chart" uri="{C3380CC4-5D6E-409C-BE32-E72D297353CC}">
                <c16:uniqueId val="{00000007-558A-4071-A232-D13F0A38C37D}"/>
              </c:ext>
            </c:extLst>
          </c:dPt>
          <c:dPt>
            <c:idx val="4"/>
            <c:bubble3D val="0"/>
            <c:spPr>
              <a:solidFill>
                <a:srgbClr val="0070C0"/>
              </a:solidFill>
              <a:ln w="19050">
                <a:noFill/>
              </a:ln>
              <a:effectLst/>
            </c:spPr>
            <c:extLst>
              <c:ext xmlns:c16="http://schemas.microsoft.com/office/drawing/2014/chart" uri="{C3380CC4-5D6E-409C-BE32-E72D297353CC}">
                <c16:uniqueId val="{00000009-558A-4071-A232-D13F0A38C37D}"/>
              </c:ext>
            </c:extLst>
          </c:dPt>
          <c:dPt>
            <c:idx val="5"/>
            <c:bubble3D val="0"/>
            <c:spPr>
              <a:solidFill>
                <a:srgbClr val="00B050"/>
              </a:solidFill>
              <a:ln w="19050">
                <a:noFill/>
              </a:ln>
              <a:effectLst/>
            </c:spPr>
            <c:extLst>
              <c:ext xmlns:c16="http://schemas.microsoft.com/office/drawing/2014/chart" uri="{C3380CC4-5D6E-409C-BE32-E72D297353CC}">
                <c16:uniqueId val="{0000000B-558A-4071-A232-D13F0A38C37D}"/>
              </c:ext>
            </c:extLst>
          </c:dPt>
          <c:dLbls>
            <c:dLbl>
              <c:idx val="2"/>
              <c:layout>
                <c:manualLayout>
                  <c:x val="-8.3041393568820662E-2"/>
                  <c:y val="-0.2133688934044534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8A-4071-A232-D13F0A38C37D}"/>
                </c:ext>
              </c:extLst>
            </c:dLbl>
            <c:dLbl>
              <c:idx val="3"/>
              <c:layout>
                <c:manualLayout>
                  <c:x val="0.10225868414492881"/>
                  <c:y val="-0.1594502300115711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8A-4071-A232-D13F0A38C3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ATTRITION'!$A$4:$A$10</c:f>
              <c:strCache>
                <c:ptCount val="6"/>
                <c:pt idx="0">
                  <c:v>Finance</c:v>
                </c:pt>
                <c:pt idx="1">
                  <c:v>HR</c:v>
                </c:pt>
                <c:pt idx="2">
                  <c:v>IT</c:v>
                </c:pt>
                <c:pt idx="3">
                  <c:v>Marketing</c:v>
                </c:pt>
                <c:pt idx="4">
                  <c:v>R&amp;D</c:v>
                </c:pt>
                <c:pt idx="5">
                  <c:v>Sales</c:v>
                </c:pt>
              </c:strCache>
            </c:strRef>
          </c:cat>
          <c:val>
            <c:numRef>
              <c:f>'DEPARTMENT WISE ATTRITION'!$B$4:$B$10</c:f>
              <c:numCache>
                <c:formatCode>0.00%</c:formatCode>
                <c:ptCount val="6"/>
                <c:pt idx="0">
                  <c:v>0.13698630136986301</c:v>
                </c:pt>
                <c:pt idx="1">
                  <c:v>0.19178082191780821</c:v>
                </c:pt>
                <c:pt idx="2">
                  <c:v>0.22602739726027396</c:v>
                </c:pt>
                <c:pt idx="3">
                  <c:v>0.10273972602739725</c:v>
                </c:pt>
                <c:pt idx="4">
                  <c:v>0.14383561643835616</c:v>
                </c:pt>
                <c:pt idx="5">
                  <c:v>0.19863013698630136</c:v>
                </c:pt>
              </c:numCache>
            </c:numRef>
          </c:val>
          <c:extLst>
            <c:ext xmlns:c16="http://schemas.microsoft.com/office/drawing/2014/chart" uri="{C3380CC4-5D6E-409C-BE32-E72D297353CC}">
              <c16:uniqueId val="{0000000C-558A-4071-A232-D13F0A38C3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 DONE.xlsx]ATTRITION BY AGE GROUP!AGE GROUP ATTRITION </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9000">
                <a:schemeClr val="accent4">
                  <a:lumMod val="60000"/>
                  <a:lumOff val="40000"/>
                </a:schemeClr>
              </a:gs>
              <a:gs pos="62000">
                <a:schemeClr val="accent4">
                  <a:lumMod val="20000"/>
                  <a:lumOff val="80000"/>
                </a:schemeClr>
              </a:gs>
              <a:gs pos="78000">
                <a:schemeClr val="accent4">
                  <a:lumMod val="60000"/>
                  <a:lumOff val="40000"/>
                </a:schemeClr>
              </a:gs>
              <a:gs pos="2000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0050838288008"/>
          <c:y val="7.1684587813620068E-2"/>
          <c:w val="0.84812531675611647"/>
          <c:h val="0.75485112748003269"/>
        </c:manualLayout>
      </c:layout>
      <c:barChart>
        <c:barDir val="col"/>
        <c:grouping val="clustered"/>
        <c:varyColors val="0"/>
        <c:ser>
          <c:idx val="0"/>
          <c:order val="0"/>
          <c:tx>
            <c:strRef>
              <c:f>'ATTRITION BY AGE GROUP'!$B$3</c:f>
              <c:strCache>
                <c:ptCount val="1"/>
                <c:pt idx="0">
                  <c:v>Total</c:v>
                </c:pt>
              </c:strCache>
            </c:strRef>
          </c:tx>
          <c:spPr>
            <a:gradFill>
              <a:gsLst>
                <a:gs pos="59000">
                  <a:schemeClr val="accent4">
                    <a:lumMod val="60000"/>
                    <a:lumOff val="40000"/>
                  </a:schemeClr>
                </a:gs>
                <a:gs pos="62000">
                  <a:schemeClr val="accent4">
                    <a:lumMod val="20000"/>
                    <a:lumOff val="80000"/>
                  </a:schemeClr>
                </a:gs>
                <a:gs pos="78000">
                  <a:schemeClr val="accent4">
                    <a:lumMod val="60000"/>
                    <a:lumOff val="40000"/>
                  </a:schemeClr>
                </a:gs>
                <a:gs pos="20000">
                  <a:schemeClr val="accent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Under 25</c:v>
                </c:pt>
                <c:pt idx="4">
                  <c:v>Over 55</c:v>
                </c:pt>
              </c:strCache>
            </c:strRef>
          </c:cat>
          <c:val>
            <c:numRef>
              <c:f>'ATTRITION BY AGE GROUP'!$B$4:$B$9</c:f>
              <c:numCache>
                <c:formatCode>General</c:formatCode>
                <c:ptCount val="5"/>
                <c:pt idx="0">
                  <c:v>50</c:v>
                </c:pt>
                <c:pt idx="1">
                  <c:v>45</c:v>
                </c:pt>
                <c:pt idx="2">
                  <c:v>31</c:v>
                </c:pt>
                <c:pt idx="3">
                  <c:v>10</c:v>
                </c:pt>
                <c:pt idx="4">
                  <c:v>10</c:v>
                </c:pt>
              </c:numCache>
            </c:numRef>
          </c:val>
          <c:extLst>
            <c:ext xmlns:c16="http://schemas.microsoft.com/office/drawing/2014/chart" uri="{C3380CC4-5D6E-409C-BE32-E72D297353CC}">
              <c16:uniqueId val="{00000000-8422-42FA-99F5-4AD6D9F814C9}"/>
            </c:ext>
          </c:extLst>
        </c:ser>
        <c:dLbls>
          <c:dLblPos val="outEnd"/>
          <c:showLegendKey val="0"/>
          <c:showVal val="1"/>
          <c:showCatName val="0"/>
          <c:showSerName val="0"/>
          <c:showPercent val="0"/>
          <c:showBubbleSize val="0"/>
        </c:dLbls>
        <c:gapWidth val="100"/>
        <c:overlap val="-27"/>
        <c:axId val="849176799"/>
        <c:axId val="849177631"/>
      </c:barChart>
      <c:catAx>
        <c:axId val="84917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49177631"/>
        <c:crosses val="autoZero"/>
        <c:auto val="1"/>
        <c:lblAlgn val="ctr"/>
        <c:lblOffset val="100"/>
        <c:noMultiLvlLbl val="0"/>
      </c:catAx>
      <c:valAx>
        <c:axId val="849177631"/>
        <c:scaling>
          <c:orientation val="minMax"/>
        </c:scaling>
        <c:delete val="1"/>
        <c:axPos val="l"/>
        <c:numFmt formatCode="General" sourceLinked="1"/>
        <c:majorTickMark val="none"/>
        <c:minorTickMark val="none"/>
        <c:tickLblPos val="nextTo"/>
        <c:crossAx val="84917679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229944F0-08AE-4241-916B-79A59C15CB98}">
          <cx:tx>
            <cx:txData>
              <cx:f>_xlchart.v1.4</cx:f>
              <cx:v>ATTRITION </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F52D172B-7860-459B-A41D-DE8B98B75CF7}">
          <cx:tx>
            <cx:txData>
              <cx:f>_xlchart.v2.7</cx:f>
              <cx:v>ATTRITION </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229944F0-08AE-4241-916B-79A59C15CB98}">
          <cx:tx>
            <cx:txData>
              <cx:f>_xlchart.v1.10</cx:f>
              <cx:v>ATTRITION </cx:v>
            </cx:txData>
          </cx:tx>
          <cx:spPr>
            <a:ln>
              <a:noFill/>
            </a:ln>
          </cx:spPr>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F52D172B-7860-459B-A41D-DE8B98B75CF7}">
          <cx:tx>
            <cx:txData>
              <cx:f>_xlchart.v2.13</cx:f>
              <cx:v>ATTRITION </cx:v>
            </cx:txData>
          </cx:tx>
          <cx:spPr>
            <a:gradFill>
              <a:gsLst>
                <a:gs pos="0">
                  <a:schemeClr val="accent4">
                    <a:lumMod val="60000"/>
                    <a:lumOff val="40000"/>
                  </a:schemeClr>
                </a:gs>
                <a:gs pos="32000">
                  <a:schemeClr val="accent4">
                    <a:lumMod val="20000"/>
                    <a:lumOff val="80000"/>
                  </a:schemeClr>
                </a:gs>
                <a:gs pos="78000">
                  <a:schemeClr val="accent4">
                    <a:lumMod val="60000"/>
                    <a:lumOff val="40000"/>
                  </a:schemeClr>
                </a:gs>
                <a:gs pos="89000">
                  <a:schemeClr val="accent4">
                    <a:lumMod val="60000"/>
                    <a:lumOff val="40000"/>
                  </a:schemeClr>
                </a:gs>
              </a:gsLst>
              <a:lin ang="5400000" scaled="1"/>
            </a:gradFill>
            <a:ln>
              <a:noFill/>
            </a:ln>
          </cx:spPr>
          <cx:dataLabels>
            <cx:txPr>
              <a:bodyPr spcFirstLastPara="1" vertOverflow="ellipsis" horzOverflow="overflow" wrap="square" lIns="0" tIns="0" rIns="0" bIns="0" anchor="ctr" anchorCtr="1"/>
              <a:lstStyle/>
              <a:p>
                <a:pPr algn="ctr" rtl="0">
                  <a:defRPr sz="1600" b="1">
                    <a:solidFill>
                      <a:sysClr val="windowText" lastClr="000000"/>
                    </a:solidFill>
                  </a:defRPr>
                </a:pPr>
                <a:endParaRPr lang="en-US" sz="16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lumMod val="65000"/>
                  <a:lumOff val="35000"/>
                </a:sysClr>
              </a:solidFill>
              <a:latin typeface="Arial Black" panose="020B0A040201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image" Target="../media/image3.png"/><Relationship Id="rId12" Type="http://schemas.microsoft.com/office/2014/relationships/chartEx" Target="../charts/chartEx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2.xml"/><Relationship Id="rId5" Type="http://schemas.openxmlformats.org/officeDocument/2006/relationships/chart" Target="../charts/chart10.xml"/><Relationship Id="rId15" Type="http://schemas.microsoft.com/office/2014/relationships/chartEx" Target="../charts/chartEx4.xml"/><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3</xdr:col>
      <xdr:colOff>561975</xdr:colOff>
      <xdr:row>5</xdr:row>
      <xdr:rowOff>133350</xdr:rowOff>
    </xdr:from>
    <xdr:to>
      <xdr:col>6</xdr:col>
      <xdr:colOff>561975</xdr:colOff>
      <xdr:row>10</xdr:row>
      <xdr:rowOff>180975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C2195C-7320-AF87-B0C4-F4AB8F9196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24325" y="1085850"/>
              <a:ext cx="18288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509587</xdr:colOff>
      <xdr:row>3</xdr:row>
      <xdr:rowOff>76200</xdr:rowOff>
    </xdr:from>
    <xdr:to>
      <xdr:col>6</xdr:col>
      <xdr:colOff>571500</xdr:colOff>
      <xdr:row>11</xdr:row>
      <xdr:rowOff>142875</xdr:rowOff>
    </xdr:to>
    <xdr:graphicFrame macro="">
      <xdr:nvGraphicFramePr>
        <xdr:cNvPr id="4" name="Chart 3">
          <a:extLst>
            <a:ext uri="{FF2B5EF4-FFF2-40B4-BE49-F238E27FC236}">
              <a16:creationId xmlns:a16="http://schemas.microsoft.com/office/drawing/2014/main" id="{F2BBED8C-3C06-4829-257F-FE66A5A05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142875</xdr:colOff>
      <xdr:row>2</xdr:row>
      <xdr:rowOff>95250</xdr:rowOff>
    </xdr:from>
    <xdr:to>
      <xdr:col>10</xdr:col>
      <xdr:colOff>142875</xdr:colOff>
      <xdr:row>15</xdr:row>
      <xdr:rowOff>142875</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5393050D-B754-C630-A286-0F9D42A5767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76875"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352425</xdr:colOff>
      <xdr:row>12</xdr:row>
      <xdr:rowOff>28575</xdr:rowOff>
    </xdr:from>
    <xdr:to>
      <xdr:col>3</xdr:col>
      <xdr:colOff>304800</xdr:colOff>
      <xdr:row>16</xdr:row>
      <xdr:rowOff>19050</xdr:rowOff>
    </xdr:to>
    <xdr:graphicFrame macro="">
      <xdr:nvGraphicFramePr>
        <xdr:cNvPr id="6" name="Chart 5">
          <a:extLst>
            <a:ext uri="{FF2B5EF4-FFF2-40B4-BE49-F238E27FC236}">
              <a16:creationId xmlns:a16="http://schemas.microsoft.com/office/drawing/2014/main" id="{8DBE84B7-4651-D17E-1255-D73504262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17</xdr:row>
      <xdr:rowOff>0</xdr:rowOff>
    </xdr:from>
    <xdr:to>
      <xdr:col>8</xdr:col>
      <xdr:colOff>556591</xdr:colOff>
      <xdr:row>20</xdr:row>
      <xdr:rowOff>11603</xdr:rowOff>
    </xdr:to>
    <xdr:sp macro="" textlink="">
      <xdr:nvSpPr>
        <xdr:cNvPr id="7" name="Freeform: Shape 6">
          <a:extLst>
            <a:ext uri="{FF2B5EF4-FFF2-40B4-BE49-F238E27FC236}">
              <a16:creationId xmlns:a16="http://schemas.microsoft.com/office/drawing/2014/main" id="{5B1CA02C-028D-1FE7-EF1F-1A17CADA4B09}"/>
            </a:ext>
          </a:extLst>
        </xdr:cNvPr>
        <xdr:cNvSpPr/>
      </xdr:nvSpPr>
      <xdr:spPr>
        <a:xfrm>
          <a:off x="4114800" y="3238500"/>
          <a:ext cx="2385391" cy="583103"/>
        </a:xfrm>
        <a:custGeom>
          <a:avLst/>
          <a:gdLst>
            <a:gd name="connsiteX0" fmla="*/ 1967945 w 2385391"/>
            <a:gd name="connsiteY0" fmla="*/ 53012 h 583103"/>
            <a:gd name="connsiteX1" fmla="*/ 1908506 w 2385391"/>
            <a:gd name="connsiteY1" fmla="*/ 235241 h 583103"/>
            <a:gd name="connsiteX2" fmla="*/ 1716155 w 2385391"/>
            <a:gd name="connsiteY2" fmla="*/ 235239 h 583103"/>
            <a:gd name="connsiteX3" fmla="*/ 1871771 w 2385391"/>
            <a:gd name="connsiteY3" fmla="*/ 347862 h 583103"/>
            <a:gd name="connsiteX4" fmla="*/ 1812330 w 2385391"/>
            <a:gd name="connsiteY4" fmla="*/ 530090 h 583103"/>
            <a:gd name="connsiteX5" fmla="*/ 1967945 w 2385391"/>
            <a:gd name="connsiteY5" fmla="*/ 417465 h 583103"/>
            <a:gd name="connsiteX6" fmla="*/ 2123560 w 2385391"/>
            <a:gd name="connsiteY6" fmla="*/ 530090 h 583103"/>
            <a:gd name="connsiteX7" fmla="*/ 2064119 w 2385391"/>
            <a:gd name="connsiteY7" fmla="*/ 347862 h 583103"/>
            <a:gd name="connsiteX8" fmla="*/ 2219735 w 2385391"/>
            <a:gd name="connsiteY8" fmla="*/ 235239 h 583103"/>
            <a:gd name="connsiteX9" fmla="*/ 2027384 w 2385391"/>
            <a:gd name="connsiteY9" fmla="*/ 235241 h 583103"/>
            <a:gd name="connsiteX10" fmla="*/ 1444486 w 2385391"/>
            <a:gd name="connsiteY10" fmla="*/ 53012 h 583103"/>
            <a:gd name="connsiteX11" fmla="*/ 1385047 w 2385391"/>
            <a:gd name="connsiteY11" fmla="*/ 235241 h 583103"/>
            <a:gd name="connsiteX12" fmla="*/ 1192696 w 2385391"/>
            <a:gd name="connsiteY12" fmla="*/ 235239 h 583103"/>
            <a:gd name="connsiteX13" fmla="*/ 1348312 w 2385391"/>
            <a:gd name="connsiteY13" fmla="*/ 347862 h 583103"/>
            <a:gd name="connsiteX14" fmla="*/ 1288871 w 2385391"/>
            <a:gd name="connsiteY14" fmla="*/ 530090 h 583103"/>
            <a:gd name="connsiteX15" fmla="*/ 1444486 w 2385391"/>
            <a:gd name="connsiteY15" fmla="*/ 417465 h 583103"/>
            <a:gd name="connsiteX16" fmla="*/ 1600101 w 2385391"/>
            <a:gd name="connsiteY16" fmla="*/ 530090 h 583103"/>
            <a:gd name="connsiteX17" fmla="*/ 1540660 w 2385391"/>
            <a:gd name="connsiteY17" fmla="*/ 347862 h 583103"/>
            <a:gd name="connsiteX18" fmla="*/ 1696276 w 2385391"/>
            <a:gd name="connsiteY18" fmla="*/ 235239 h 583103"/>
            <a:gd name="connsiteX19" fmla="*/ 1503925 w 2385391"/>
            <a:gd name="connsiteY19" fmla="*/ 235241 h 583103"/>
            <a:gd name="connsiteX20" fmla="*/ 921027 w 2385391"/>
            <a:gd name="connsiteY20" fmla="*/ 53012 h 583103"/>
            <a:gd name="connsiteX21" fmla="*/ 861588 w 2385391"/>
            <a:gd name="connsiteY21" fmla="*/ 235241 h 583103"/>
            <a:gd name="connsiteX22" fmla="*/ 669237 w 2385391"/>
            <a:gd name="connsiteY22" fmla="*/ 235239 h 583103"/>
            <a:gd name="connsiteX23" fmla="*/ 824853 w 2385391"/>
            <a:gd name="connsiteY23" fmla="*/ 347862 h 583103"/>
            <a:gd name="connsiteX24" fmla="*/ 765412 w 2385391"/>
            <a:gd name="connsiteY24" fmla="*/ 530090 h 583103"/>
            <a:gd name="connsiteX25" fmla="*/ 921027 w 2385391"/>
            <a:gd name="connsiteY25" fmla="*/ 417465 h 583103"/>
            <a:gd name="connsiteX26" fmla="*/ 1076642 w 2385391"/>
            <a:gd name="connsiteY26" fmla="*/ 530090 h 583103"/>
            <a:gd name="connsiteX27" fmla="*/ 1017201 w 2385391"/>
            <a:gd name="connsiteY27" fmla="*/ 347862 h 583103"/>
            <a:gd name="connsiteX28" fmla="*/ 1172817 w 2385391"/>
            <a:gd name="connsiteY28" fmla="*/ 235239 h 583103"/>
            <a:gd name="connsiteX29" fmla="*/ 980466 w 2385391"/>
            <a:gd name="connsiteY29" fmla="*/ 235241 h 583103"/>
            <a:gd name="connsiteX30" fmla="*/ 384314 w 2385391"/>
            <a:gd name="connsiteY30" fmla="*/ 53012 h 583103"/>
            <a:gd name="connsiteX31" fmla="*/ 317054 w 2385391"/>
            <a:gd name="connsiteY31" fmla="*/ 235241 h 583103"/>
            <a:gd name="connsiteX32" fmla="*/ 99393 w 2385391"/>
            <a:gd name="connsiteY32" fmla="*/ 235239 h 583103"/>
            <a:gd name="connsiteX33" fmla="*/ 275485 w 2385391"/>
            <a:gd name="connsiteY33" fmla="*/ 347862 h 583103"/>
            <a:gd name="connsiteX34" fmla="*/ 208223 w 2385391"/>
            <a:gd name="connsiteY34" fmla="*/ 530090 h 583103"/>
            <a:gd name="connsiteX35" fmla="*/ 384314 w 2385391"/>
            <a:gd name="connsiteY35" fmla="*/ 417465 h 583103"/>
            <a:gd name="connsiteX36" fmla="*/ 560405 w 2385391"/>
            <a:gd name="connsiteY36" fmla="*/ 530090 h 583103"/>
            <a:gd name="connsiteX37" fmla="*/ 493143 w 2385391"/>
            <a:gd name="connsiteY37" fmla="*/ 347862 h 583103"/>
            <a:gd name="connsiteX38" fmla="*/ 669235 w 2385391"/>
            <a:gd name="connsiteY38" fmla="*/ 235239 h 583103"/>
            <a:gd name="connsiteX39" fmla="*/ 451574 w 2385391"/>
            <a:gd name="connsiteY39" fmla="*/ 235241 h 583103"/>
            <a:gd name="connsiteX40" fmla="*/ 0 w 2385391"/>
            <a:gd name="connsiteY40" fmla="*/ 0 h 583103"/>
            <a:gd name="connsiteX41" fmla="*/ 2385391 w 2385391"/>
            <a:gd name="connsiteY41" fmla="*/ 0 h 583103"/>
            <a:gd name="connsiteX42" fmla="*/ 2385391 w 2385391"/>
            <a:gd name="connsiteY42" fmla="*/ 583103 h 583103"/>
            <a:gd name="connsiteX43" fmla="*/ 0 w 2385391"/>
            <a:gd name="connsiteY43" fmla="*/ 583103 h 5831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385391" h="583103">
              <a:moveTo>
                <a:pt x="1967945" y="53012"/>
              </a:moveTo>
              <a:lnTo>
                <a:pt x="1908506" y="235241"/>
              </a:lnTo>
              <a:lnTo>
                <a:pt x="1716155" y="235239"/>
              </a:lnTo>
              <a:lnTo>
                <a:pt x="1871771" y="347862"/>
              </a:lnTo>
              <a:lnTo>
                <a:pt x="1812330" y="530090"/>
              </a:lnTo>
              <a:lnTo>
                <a:pt x="1967945" y="417465"/>
              </a:lnTo>
              <a:lnTo>
                <a:pt x="2123560" y="530090"/>
              </a:lnTo>
              <a:lnTo>
                <a:pt x="2064119" y="347862"/>
              </a:lnTo>
              <a:lnTo>
                <a:pt x="2219735" y="235239"/>
              </a:lnTo>
              <a:lnTo>
                <a:pt x="2027384" y="235241"/>
              </a:lnTo>
              <a:close/>
              <a:moveTo>
                <a:pt x="1444486" y="53012"/>
              </a:moveTo>
              <a:lnTo>
                <a:pt x="1385047" y="235241"/>
              </a:lnTo>
              <a:lnTo>
                <a:pt x="1192696" y="235239"/>
              </a:lnTo>
              <a:lnTo>
                <a:pt x="1348312" y="347862"/>
              </a:lnTo>
              <a:lnTo>
                <a:pt x="1288871" y="530090"/>
              </a:lnTo>
              <a:lnTo>
                <a:pt x="1444486" y="417465"/>
              </a:lnTo>
              <a:lnTo>
                <a:pt x="1600101" y="530090"/>
              </a:lnTo>
              <a:lnTo>
                <a:pt x="1540660" y="347862"/>
              </a:lnTo>
              <a:lnTo>
                <a:pt x="1696276" y="235239"/>
              </a:lnTo>
              <a:lnTo>
                <a:pt x="1503925" y="235241"/>
              </a:lnTo>
              <a:close/>
              <a:moveTo>
                <a:pt x="921027" y="53012"/>
              </a:moveTo>
              <a:lnTo>
                <a:pt x="861588" y="235241"/>
              </a:lnTo>
              <a:lnTo>
                <a:pt x="669237" y="235239"/>
              </a:lnTo>
              <a:lnTo>
                <a:pt x="824853" y="347862"/>
              </a:lnTo>
              <a:lnTo>
                <a:pt x="765412" y="530090"/>
              </a:lnTo>
              <a:lnTo>
                <a:pt x="921027" y="417465"/>
              </a:lnTo>
              <a:lnTo>
                <a:pt x="1076642" y="530090"/>
              </a:lnTo>
              <a:lnTo>
                <a:pt x="1017201" y="347862"/>
              </a:lnTo>
              <a:lnTo>
                <a:pt x="1172817" y="235239"/>
              </a:lnTo>
              <a:lnTo>
                <a:pt x="980466" y="235241"/>
              </a:lnTo>
              <a:close/>
              <a:moveTo>
                <a:pt x="384314" y="53012"/>
              </a:moveTo>
              <a:lnTo>
                <a:pt x="317054" y="235241"/>
              </a:lnTo>
              <a:lnTo>
                <a:pt x="99393" y="235239"/>
              </a:lnTo>
              <a:lnTo>
                <a:pt x="275485" y="347862"/>
              </a:lnTo>
              <a:lnTo>
                <a:pt x="208223" y="530090"/>
              </a:lnTo>
              <a:lnTo>
                <a:pt x="384314" y="417465"/>
              </a:lnTo>
              <a:lnTo>
                <a:pt x="560405" y="530090"/>
              </a:lnTo>
              <a:lnTo>
                <a:pt x="493143" y="347862"/>
              </a:lnTo>
              <a:lnTo>
                <a:pt x="669235" y="235239"/>
              </a:lnTo>
              <a:lnTo>
                <a:pt x="451574" y="235241"/>
              </a:lnTo>
              <a:close/>
              <a:moveTo>
                <a:pt x="0" y="0"/>
              </a:moveTo>
              <a:lnTo>
                <a:pt x="2385391" y="0"/>
              </a:lnTo>
              <a:lnTo>
                <a:pt x="2385391" y="583103"/>
              </a:lnTo>
              <a:lnTo>
                <a:pt x="0" y="583103"/>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11</xdr:col>
      <xdr:colOff>47625</xdr:colOff>
      <xdr:row>2</xdr:row>
      <xdr:rowOff>85725</xdr:rowOff>
    </xdr:from>
    <xdr:to>
      <xdr:col>14</xdr:col>
      <xdr:colOff>47625</xdr:colOff>
      <xdr:row>15</xdr:row>
      <xdr:rowOff>133350</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C4A37797-62BE-F346-1A65-38B9B1DC805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820025"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57149</xdr:colOff>
      <xdr:row>2</xdr:row>
      <xdr:rowOff>85726</xdr:rowOff>
    </xdr:from>
    <xdr:to>
      <xdr:col>14</xdr:col>
      <xdr:colOff>66674</xdr:colOff>
      <xdr:row>5</xdr:row>
      <xdr:rowOff>161925</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01D78B8C-2D1C-F53B-5D7A-390AB88C6CA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162924" y="466726"/>
              <a:ext cx="1838325"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276225</xdr:colOff>
      <xdr:row>2</xdr:row>
      <xdr:rowOff>95250</xdr:rowOff>
    </xdr:from>
    <xdr:to>
      <xdr:col>10</xdr:col>
      <xdr:colOff>276225</xdr:colOff>
      <xdr:row>15</xdr:row>
      <xdr:rowOff>142875</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BC745753-32C8-EFE2-AA6A-0678B334954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943600"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352425</xdr:colOff>
      <xdr:row>10</xdr:row>
      <xdr:rowOff>80962</xdr:rowOff>
    </xdr:from>
    <xdr:to>
      <xdr:col>1</xdr:col>
      <xdr:colOff>1485900</xdr:colOff>
      <xdr:row>18</xdr:row>
      <xdr:rowOff>114300</xdr:rowOff>
    </xdr:to>
    <xdr:graphicFrame macro="">
      <xdr:nvGraphicFramePr>
        <xdr:cNvPr id="7" name="Chart 6">
          <a:extLst>
            <a:ext uri="{FF2B5EF4-FFF2-40B4-BE49-F238E27FC236}">
              <a16:creationId xmlns:a16="http://schemas.microsoft.com/office/drawing/2014/main" id="{28852D9D-8E5C-EA03-0046-4D129BC26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10</xdr:row>
      <xdr:rowOff>66675</xdr:rowOff>
    </xdr:from>
    <xdr:to>
      <xdr:col>5</xdr:col>
      <xdr:colOff>228600</xdr:colOff>
      <xdr:row>18</xdr:row>
      <xdr:rowOff>100013</xdr:rowOff>
    </xdr:to>
    <xdr:graphicFrame macro="">
      <xdr:nvGraphicFramePr>
        <xdr:cNvPr id="8" name="Chart 7">
          <a:extLst>
            <a:ext uri="{FF2B5EF4-FFF2-40B4-BE49-F238E27FC236}">
              <a16:creationId xmlns:a16="http://schemas.microsoft.com/office/drawing/2014/main" id="{171A994E-A7E9-415D-A3ED-6F6C6FCB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3</xdr:row>
      <xdr:rowOff>152400</xdr:rowOff>
    </xdr:from>
    <xdr:to>
      <xdr:col>11</xdr:col>
      <xdr:colOff>190500</xdr:colOff>
      <xdr:row>18</xdr:row>
      <xdr:rowOff>38100</xdr:rowOff>
    </xdr:to>
    <xdr:graphicFrame macro="">
      <xdr:nvGraphicFramePr>
        <xdr:cNvPr id="2" name="Chart 1">
          <a:extLst>
            <a:ext uri="{FF2B5EF4-FFF2-40B4-BE49-F238E27FC236}">
              <a16:creationId xmlns:a16="http://schemas.microsoft.com/office/drawing/2014/main" id="{A3C97C41-7822-5527-D7D3-51C8508C3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552450</xdr:colOff>
      <xdr:row>6</xdr:row>
      <xdr:rowOff>95250</xdr:rowOff>
    </xdr:from>
    <xdr:to>
      <xdr:col>14</xdr:col>
      <xdr:colOff>247650</xdr:colOff>
      <xdr:row>20</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B9232DD-68A9-88D2-A553-CC02EBF09B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48475" y="12382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361950</xdr:colOff>
      <xdr:row>2</xdr:row>
      <xdr:rowOff>161925</xdr:rowOff>
    </xdr:from>
    <xdr:to>
      <xdr:col>10</xdr:col>
      <xdr:colOff>57150</xdr:colOff>
      <xdr:row>17</xdr:row>
      <xdr:rowOff>47625</xdr:rowOff>
    </xdr:to>
    <xdr:graphicFrame macro="">
      <xdr:nvGraphicFramePr>
        <xdr:cNvPr id="2" name="Chart 1">
          <a:extLst>
            <a:ext uri="{FF2B5EF4-FFF2-40B4-BE49-F238E27FC236}">
              <a16:creationId xmlns:a16="http://schemas.microsoft.com/office/drawing/2014/main" id="{914CCE78-B3C3-17A6-3D77-44C67D8EE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452437</xdr:colOff>
      <xdr:row>2</xdr:row>
      <xdr:rowOff>161925</xdr:rowOff>
    </xdr:from>
    <xdr:to>
      <xdr:col>10</xdr:col>
      <xdr:colOff>147637</xdr:colOff>
      <xdr:row>17</xdr:row>
      <xdr:rowOff>47625</xdr:rowOff>
    </xdr:to>
    <xdr:graphicFrame macro="">
      <xdr:nvGraphicFramePr>
        <xdr:cNvPr id="3" name="Chart 2">
          <a:extLst>
            <a:ext uri="{FF2B5EF4-FFF2-40B4-BE49-F238E27FC236}">
              <a16:creationId xmlns:a16="http://schemas.microsoft.com/office/drawing/2014/main" id="{5F77F3CC-D55C-4F59-40DB-33A9DEB05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552450</xdr:colOff>
      <xdr:row>19</xdr:row>
      <xdr:rowOff>76200</xdr:rowOff>
    </xdr:from>
    <xdr:to>
      <xdr:col>13</xdr:col>
      <xdr:colOff>247650</xdr:colOff>
      <xdr:row>33</xdr:row>
      <xdr:rowOff>152400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6ABA70D-215B-9C2F-8E0E-BCD7D77882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76875" y="3695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219075</xdr:colOff>
      <xdr:row>28</xdr:row>
      <xdr:rowOff>9525</xdr:rowOff>
    </xdr:from>
    <xdr:to>
      <xdr:col>4</xdr:col>
      <xdr:colOff>533400</xdr:colOff>
      <xdr:row>38</xdr:row>
      <xdr:rowOff>66676</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E4ABA0F1-1A02-0895-95E5-24F09358EA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267075" y="5343525"/>
              <a:ext cx="1409700" cy="196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161925</xdr:colOff>
      <xdr:row>28</xdr:row>
      <xdr:rowOff>38100</xdr:rowOff>
    </xdr:from>
    <xdr:to>
      <xdr:col>2</xdr:col>
      <xdr:colOff>628650</xdr:colOff>
      <xdr:row>38</xdr:row>
      <xdr:rowOff>104775</xdr:rowOff>
    </xdr:to>
    <mc:AlternateContent xmlns:mc="http://schemas.openxmlformats.org/markup-compatibility/2006">
      <mc:Choice xmlns:a14="http://schemas.microsoft.com/office/drawing/2010/main" Requires="a14">
        <xdr:graphicFrame macro="">
          <xdr:nvGraphicFramePr>
            <xdr:cNvPr id="6" name="Education Field 2">
              <a:extLst>
                <a:ext uri="{FF2B5EF4-FFF2-40B4-BE49-F238E27FC236}">
                  <a16:creationId xmlns:a16="http://schemas.microsoft.com/office/drawing/2014/main" id="{4CED3336-8A3D-EC12-AB58-CF36CA16241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038225" y="5372100"/>
              <a:ext cx="152400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295275</xdr:colOff>
      <xdr:row>1</xdr:row>
      <xdr:rowOff>28575</xdr:rowOff>
    </xdr:from>
    <xdr:to>
      <xdr:col>10</xdr:col>
      <xdr:colOff>238125</xdr:colOff>
      <xdr:row>4</xdr:row>
      <xdr:rowOff>95250</xdr:rowOff>
    </xdr:to>
    <xdr:sp macro="" textlink="">
      <xdr:nvSpPr>
        <xdr:cNvPr id="2" name="Rectangle 1">
          <a:extLst>
            <a:ext uri="{FF2B5EF4-FFF2-40B4-BE49-F238E27FC236}">
              <a16:creationId xmlns:a16="http://schemas.microsoft.com/office/drawing/2014/main" id="{40C3E42A-266F-7724-EE48-18357E3057C0}"/>
            </a:ext>
          </a:extLst>
        </xdr:cNvPr>
        <xdr:cNvSpPr/>
      </xdr:nvSpPr>
      <xdr:spPr>
        <a:xfrm>
          <a:off x="295275" y="219075"/>
          <a:ext cx="6038850" cy="638175"/>
        </a:xfrm>
        <a:prstGeom prst="rect">
          <a:avLst/>
        </a:prstGeom>
        <a:solidFill>
          <a:schemeClr val="accent6">
            <a:lumMod val="40000"/>
            <a:lumOff val="60000"/>
          </a:schemeClr>
        </a:solidFill>
        <a:ln>
          <a:solidFill>
            <a:schemeClr val="accent5">
              <a:lumMod val="50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tx1"/>
              </a:solidFill>
              <a:latin typeface="Arial Black" panose="020B0A04020102020204" pitchFamily="34" charset="0"/>
              <a:ea typeface="+mn-ea"/>
              <a:cs typeface="+mn-cs"/>
            </a:rPr>
            <a:t>HR ANALYTICS</a:t>
          </a:r>
          <a:r>
            <a:rPr lang="en-US" sz="2400" baseline="0">
              <a:solidFill>
                <a:schemeClr val="tx1"/>
              </a:solidFill>
              <a:latin typeface="Arial Black" panose="020B0A04020102020204" pitchFamily="34" charset="0"/>
              <a:ea typeface="+mn-ea"/>
              <a:cs typeface="+mn-cs"/>
            </a:rPr>
            <a:t> DASHBOARD </a:t>
          </a:r>
          <a:endParaRPr lang="en-US" sz="2400">
            <a:solidFill>
              <a:schemeClr val="tx1"/>
            </a:solidFill>
            <a:latin typeface="Arial Black" panose="020B0A04020102020204" pitchFamily="34" charset="0"/>
            <a:ea typeface="+mn-ea"/>
            <a:cs typeface="+mn-cs"/>
          </a:endParaRPr>
        </a:p>
      </xdr:txBody>
    </xdr:sp>
    <xdr:clientData/>
  </xdr:twoCellAnchor>
  <xdr:twoCellAnchor>
    <xdr:from>
      <xdr:col>10</xdr:col>
      <xdr:colOff>333375</xdr:colOff>
      <xdr:row>1</xdr:row>
      <xdr:rowOff>47625</xdr:rowOff>
    </xdr:from>
    <xdr:to>
      <xdr:col>20</xdr:col>
      <xdr:colOff>47625</xdr:colOff>
      <xdr:row>4</xdr:row>
      <xdr:rowOff>152400</xdr:rowOff>
    </xdr:to>
    <xdr:sp macro="" textlink="">
      <xdr:nvSpPr>
        <xdr:cNvPr id="3" name="Rectangle 2">
          <a:extLst>
            <a:ext uri="{FF2B5EF4-FFF2-40B4-BE49-F238E27FC236}">
              <a16:creationId xmlns:a16="http://schemas.microsoft.com/office/drawing/2014/main" id="{315CF6BA-60F7-4DA4-891B-D535E632876B}"/>
            </a:ext>
          </a:extLst>
        </xdr:cNvPr>
        <xdr:cNvSpPr/>
      </xdr:nvSpPr>
      <xdr:spPr>
        <a:xfrm>
          <a:off x="6429375" y="238125"/>
          <a:ext cx="5810250" cy="676275"/>
        </a:xfrm>
        <a:prstGeom prst="rect">
          <a:avLst/>
        </a:prstGeom>
        <a:solidFill>
          <a:schemeClr val="bg1"/>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a:solidFill>
              <a:schemeClr val="lt1"/>
            </a:solidFill>
            <a:latin typeface="+mn-lt"/>
            <a:ea typeface="+mn-ea"/>
            <a:cs typeface="+mn-cs"/>
          </a:endParaRPr>
        </a:p>
      </xdr:txBody>
    </xdr:sp>
    <xdr:clientData/>
  </xdr:twoCellAnchor>
  <xdr:twoCellAnchor>
    <xdr:from>
      <xdr:col>0</xdr:col>
      <xdr:colOff>209550</xdr:colOff>
      <xdr:row>5</xdr:row>
      <xdr:rowOff>109537</xdr:rowOff>
    </xdr:from>
    <xdr:to>
      <xdr:col>4</xdr:col>
      <xdr:colOff>95250</xdr:colOff>
      <xdr:row>10</xdr:row>
      <xdr:rowOff>14288</xdr:rowOff>
    </xdr:to>
    <xdr:sp macro="" textlink="">
      <xdr:nvSpPr>
        <xdr:cNvPr id="4" name="Rectangle 3">
          <a:extLst>
            <a:ext uri="{FF2B5EF4-FFF2-40B4-BE49-F238E27FC236}">
              <a16:creationId xmlns:a16="http://schemas.microsoft.com/office/drawing/2014/main" id="{AB7F5463-E713-4911-A8E4-BAA5189BF78D}"/>
            </a:ext>
          </a:extLst>
        </xdr:cNvPr>
        <xdr:cNvSpPr/>
      </xdr:nvSpPr>
      <xdr:spPr>
        <a:xfrm>
          <a:off x="209550" y="1062037"/>
          <a:ext cx="2324100" cy="857251"/>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 EMPLOYEES</a:t>
          </a:r>
        </a:p>
      </xdr:txBody>
    </xdr:sp>
    <xdr:clientData/>
  </xdr:twoCellAnchor>
  <xdr:twoCellAnchor>
    <xdr:from>
      <xdr:col>4</xdr:col>
      <xdr:colOff>202406</xdr:colOff>
      <xdr:row>5</xdr:row>
      <xdr:rowOff>100012</xdr:rowOff>
    </xdr:from>
    <xdr:to>
      <xdr:col>8</xdr:col>
      <xdr:colOff>88106</xdr:colOff>
      <xdr:row>10</xdr:row>
      <xdr:rowOff>4763</xdr:rowOff>
    </xdr:to>
    <xdr:sp macro="" textlink="">
      <xdr:nvSpPr>
        <xdr:cNvPr id="6" name="Rectangle 5">
          <a:extLst>
            <a:ext uri="{FF2B5EF4-FFF2-40B4-BE49-F238E27FC236}">
              <a16:creationId xmlns:a16="http://schemas.microsoft.com/office/drawing/2014/main" id="{65973E30-A0FA-4FF5-A8FD-C06272937024}"/>
            </a:ext>
          </a:extLst>
        </xdr:cNvPr>
        <xdr:cNvSpPr/>
      </xdr:nvSpPr>
      <xdr:spPr>
        <a:xfrm>
          <a:off x="2640806" y="1052512"/>
          <a:ext cx="2324100" cy="857251"/>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ATTRITION</a:t>
          </a:r>
          <a:r>
            <a:rPr lang="en-US" sz="1100">
              <a:solidFill>
                <a:schemeClr val="lt1"/>
              </a:solidFill>
              <a:latin typeface="+mn-lt"/>
              <a:ea typeface="+mn-ea"/>
              <a:cs typeface="+mn-cs"/>
            </a:rPr>
            <a:t> </a:t>
          </a:r>
        </a:p>
      </xdr:txBody>
    </xdr:sp>
    <xdr:clientData/>
  </xdr:twoCellAnchor>
  <xdr:twoCellAnchor>
    <xdr:from>
      <xdr:col>8</xdr:col>
      <xdr:colOff>157162</xdr:colOff>
      <xdr:row>5</xdr:row>
      <xdr:rowOff>100012</xdr:rowOff>
    </xdr:from>
    <xdr:to>
      <xdr:col>12</xdr:col>
      <xdr:colOff>42862</xdr:colOff>
      <xdr:row>10</xdr:row>
      <xdr:rowOff>4763</xdr:rowOff>
    </xdr:to>
    <xdr:sp macro="" textlink="">
      <xdr:nvSpPr>
        <xdr:cNvPr id="7" name="Rectangle 6">
          <a:extLst>
            <a:ext uri="{FF2B5EF4-FFF2-40B4-BE49-F238E27FC236}">
              <a16:creationId xmlns:a16="http://schemas.microsoft.com/office/drawing/2014/main" id="{05979825-A7AC-401E-B992-4C2EA8BFFBDD}"/>
            </a:ext>
          </a:extLst>
        </xdr:cNvPr>
        <xdr:cNvSpPr/>
      </xdr:nvSpPr>
      <xdr:spPr>
        <a:xfrm>
          <a:off x="5033962" y="1052512"/>
          <a:ext cx="2324100" cy="85725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mn-lt"/>
              <a:ea typeface="+mn-ea"/>
              <a:cs typeface="Calibri"/>
            </a:rPr>
            <a:t>ACTIVE</a:t>
          </a:r>
          <a:r>
            <a:rPr lang="en-US" sz="1400" b="1" i="0" u="none" strike="noStrike" baseline="0">
              <a:solidFill>
                <a:srgbClr val="000000"/>
              </a:solidFill>
              <a:latin typeface="+mj-lt"/>
              <a:ea typeface="+mn-ea"/>
              <a:cs typeface="Calibri"/>
            </a:rPr>
            <a:t> </a:t>
          </a:r>
          <a:r>
            <a:rPr lang="en-US" sz="1400" b="1" i="0" u="none" strike="noStrike" baseline="0">
              <a:solidFill>
                <a:srgbClr val="000000"/>
              </a:solidFill>
              <a:latin typeface="+mn-lt"/>
              <a:ea typeface="+mn-ea"/>
              <a:cs typeface="Calibri"/>
            </a:rPr>
            <a:t>EMPLOYEE</a:t>
          </a:r>
          <a:endParaRPr lang="en-US" sz="1400" b="1" i="0" u="none" strike="noStrike">
            <a:solidFill>
              <a:srgbClr val="000000"/>
            </a:solidFill>
            <a:latin typeface="+mn-lt"/>
            <a:ea typeface="+mn-ea"/>
            <a:cs typeface="Calibri"/>
          </a:endParaRPr>
        </a:p>
      </xdr:txBody>
    </xdr:sp>
    <xdr:clientData/>
  </xdr:twoCellAnchor>
  <xdr:twoCellAnchor>
    <xdr:from>
      <xdr:col>12</xdr:col>
      <xdr:colOff>130968</xdr:colOff>
      <xdr:row>5</xdr:row>
      <xdr:rowOff>109537</xdr:rowOff>
    </xdr:from>
    <xdr:to>
      <xdr:col>16</xdr:col>
      <xdr:colOff>16668</xdr:colOff>
      <xdr:row>10</xdr:row>
      <xdr:rowOff>14288</xdr:rowOff>
    </xdr:to>
    <xdr:sp macro="" textlink="">
      <xdr:nvSpPr>
        <xdr:cNvPr id="8" name="Rectangle 7">
          <a:extLst>
            <a:ext uri="{FF2B5EF4-FFF2-40B4-BE49-F238E27FC236}">
              <a16:creationId xmlns:a16="http://schemas.microsoft.com/office/drawing/2014/main" id="{BF1772D1-808C-445A-A662-370AF1AE20E7}"/>
            </a:ext>
          </a:extLst>
        </xdr:cNvPr>
        <xdr:cNvSpPr/>
      </xdr:nvSpPr>
      <xdr:spPr>
        <a:xfrm>
          <a:off x="7446168" y="1062037"/>
          <a:ext cx="2324100" cy="857251"/>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ATTRITION RATE </a:t>
          </a:r>
        </a:p>
      </xdr:txBody>
    </xdr:sp>
    <xdr:clientData/>
  </xdr:twoCellAnchor>
  <xdr:twoCellAnchor>
    <xdr:from>
      <xdr:col>16</xdr:col>
      <xdr:colOff>104775</xdr:colOff>
      <xdr:row>5</xdr:row>
      <xdr:rowOff>109537</xdr:rowOff>
    </xdr:from>
    <xdr:to>
      <xdr:col>19</xdr:col>
      <xdr:colOff>600075</xdr:colOff>
      <xdr:row>10</xdr:row>
      <xdr:rowOff>14288</xdr:rowOff>
    </xdr:to>
    <xdr:sp macro="" textlink="">
      <xdr:nvSpPr>
        <xdr:cNvPr id="9" name="Rectangle 8">
          <a:extLst>
            <a:ext uri="{FF2B5EF4-FFF2-40B4-BE49-F238E27FC236}">
              <a16:creationId xmlns:a16="http://schemas.microsoft.com/office/drawing/2014/main" id="{7D86C3BA-336C-48A4-BB51-2AC946B5ED9C}"/>
            </a:ext>
          </a:extLst>
        </xdr:cNvPr>
        <xdr:cNvSpPr/>
      </xdr:nvSpPr>
      <xdr:spPr>
        <a:xfrm>
          <a:off x="9858375" y="1062037"/>
          <a:ext cx="2324100" cy="857251"/>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AVERAGE AGE </a:t>
          </a:r>
        </a:p>
      </xdr:txBody>
    </xdr:sp>
    <xdr:clientData/>
  </xdr:twoCellAnchor>
  <xdr:twoCellAnchor>
    <xdr:from>
      <xdr:col>1</xdr:col>
      <xdr:colOff>285750</xdr:colOff>
      <xdr:row>7</xdr:row>
      <xdr:rowOff>100013</xdr:rowOff>
    </xdr:from>
    <xdr:to>
      <xdr:col>3</xdr:col>
      <xdr:colOff>85725</xdr:colOff>
      <xdr:row>9</xdr:row>
      <xdr:rowOff>4763</xdr:rowOff>
    </xdr:to>
    <xdr:sp macro="" textlink="KPI!$C$4">
      <xdr:nvSpPr>
        <xdr:cNvPr id="10" name="TextBox 9">
          <a:extLst>
            <a:ext uri="{FF2B5EF4-FFF2-40B4-BE49-F238E27FC236}">
              <a16:creationId xmlns:a16="http://schemas.microsoft.com/office/drawing/2014/main" id="{ACD781BF-525F-CC62-4138-27885AB52F1C}"/>
            </a:ext>
          </a:extLst>
        </xdr:cNvPr>
        <xdr:cNvSpPr txBox="1"/>
      </xdr:nvSpPr>
      <xdr:spPr>
        <a:xfrm>
          <a:off x="895350" y="1433513"/>
          <a:ext cx="1019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D83F1-F8C9-493A-A80D-E22A5F10EC24}" type="TxLink">
            <a:rPr lang="en-US" sz="2400" b="0" i="0" u="none" strike="noStrike">
              <a:solidFill>
                <a:srgbClr val="000000"/>
              </a:solidFill>
              <a:latin typeface="Arial Black" panose="020B0A04020102020204" pitchFamily="34" charset="0"/>
              <a:cs typeface="Calibri"/>
            </a:rPr>
            <a:pPr algn="ctr"/>
            <a:t>1000</a:t>
          </a:fld>
          <a:endParaRPr lang="en-US" sz="2400">
            <a:latin typeface="Arial Black" panose="020B0A04020102020204" pitchFamily="34" charset="0"/>
          </a:endParaRPr>
        </a:p>
      </xdr:txBody>
    </xdr:sp>
    <xdr:clientData/>
  </xdr:twoCellAnchor>
  <xdr:twoCellAnchor>
    <xdr:from>
      <xdr:col>5</xdr:col>
      <xdr:colOff>323850</xdr:colOff>
      <xdr:row>7</xdr:row>
      <xdr:rowOff>90488</xdr:rowOff>
    </xdr:from>
    <xdr:to>
      <xdr:col>7</xdr:col>
      <xdr:colOff>123825</xdr:colOff>
      <xdr:row>9</xdr:row>
      <xdr:rowOff>14288</xdr:rowOff>
    </xdr:to>
    <xdr:sp macro="" textlink="KPI!$C$10">
      <xdr:nvSpPr>
        <xdr:cNvPr id="14" name="TextBox 13">
          <a:extLst>
            <a:ext uri="{FF2B5EF4-FFF2-40B4-BE49-F238E27FC236}">
              <a16:creationId xmlns:a16="http://schemas.microsoft.com/office/drawing/2014/main" id="{9261EB86-50B6-E31B-3A07-492A76B1CB75}"/>
            </a:ext>
          </a:extLst>
        </xdr:cNvPr>
        <xdr:cNvSpPr txBox="1"/>
      </xdr:nvSpPr>
      <xdr:spPr>
        <a:xfrm>
          <a:off x="3371850" y="1423988"/>
          <a:ext cx="1019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83876C-C831-4F5E-8593-006829552DB4}" type="TxLink">
            <a:rPr lang="en-US" sz="2400" b="0" i="0" u="none" strike="noStrike">
              <a:solidFill>
                <a:srgbClr val="000000"/>
              </a:solidFill>
              <a:latin typeface="Arial Black" panose="020B0A04020102020204" pitchFamily="34" charset="0"/>
              <a:ea typeface="+mn-ea"/>
              <a:cs typeface="Calibri"/>
            </a:rPr>
            <a:pPr marL="0" indent="0" algn="ctr"/>
            <a:t>146</a:t>
          </a:fld>
          <a:endParaRPr lang="en-US" sz="2400" b="0" i="0" u="none" strike="noStrike">
            <a:solidFill>
              <a:srgbClr val="000000"/>
            </a:solidFill>
            <a:latin typeface="Arial Black" panose="020B0A04020102020204" pitchFamily="34" charset="0"/>
            <a:ea typeface="+mn-ea"/>
            <a:cs typeface="Calibri"/>
          </a:endParaRPr>
        </a:p>
      </xdr:txBody>
    </xdr:sp>
    <xdr:clientData/>
  </xdr:twoCellAnchor>
  <xdr:twoCellAnchor>
    <xdr:from>
      <xdr:col>9</xdr:col>
      <xdr:colOff>219075</xdr:colOff>
      <xdr:row>8</xdr:row>
      <xdr:rowOff>38100</xdr:rowOff>
    </xdr:from>
    <xdr:to>
      <xdr:col>9</xdr:col>
      <xdr:colOff>266700</xdr:colOff>
      <xdr:row>8</xdr:row>
      <xdr:rowOff>114300</xdr:rowOff>
    </xdr:to>
    <xdr:sp macro="" textlink="">
      <xdr:nvSpPr>
        <xdr:cNvPr id="15" name="TextBox 14">
          <a:extLst>
            <a:ext uri="{FF2B5EF4-FFF2-40B4-BE49-F238E27FC236}">
              <a16:creationId xmlns:a16="http://schemas.microsoft.com/office/drawing/2014/main" id="{4611FF50-6D33-63B9-FA6C-98646AEAD32B}"/>
            </a:ext>
          </a:extLst>
        </xdr:cNvPr>
        <xdr:cNvSpPr txBox="1"/>
      </xdr:nvSpPr>
      <xdr:spPr>
        <a:xfrm>
          <a:off x="5705475" y="1562100"/>
          <a:ext cx="47625"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171450</xdr:colOff>
      <xdr:row>7</xdr:row>
      <xdr:rowOff>95251</xdr:rowOff>
    </xdr:from>
    <xdr:to>
      <xdr:col>15</xdr:col>
      <xdr:colOff>0</xdr:colOff>
      <xdr:row>9</xdr:row>
      <xdr:rowOff>9526</xdr:rowOff>
    </xdr:to>
    <xdr:sp macro="" textlink="KPI!$C$22">
      <xdr:nvSpPr>
        <xdr:cNvPr id="17" name="TextBox 16">
          <a:extLst>
            <a:ext uri="{FF2B5EF4-FFF2-40B4-BE49-F238E27FC236}">
              <a16:creationId xmlns:a16="http://schemas.microsoft.com/office/drawing/2014/main" id="{ADA01DB6-FF5B-2D9C-DF78-E0917D1326C6}"/>
            </a:ext>
          </a:extLst>
        </xdr:cNvPr>
        <xdr:cNvSpPr txBox="1"/>
      </xdr:nvSpPr>
      <xdr:spPr>
        <a:xfrm>
          <a:off x="8096250" y="1428751"/>
          <a:ext cx="1047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888420-23F8-4F17-8D16-3372C0791A96}" type="TxLink">
            <a:rPr lang="en-US" sz="2400" b="0" i="0" u="none" strike="noStrike">
              <a:solidFill>
                <a:srgbClr val="000000"/>
              </a:solidFill>
              <a:latin typeface="Arial Black" panose="020B0A04020102020204" pitchFamily="34" charset="0"/>
              <a:ea typeface="+mn-ea"/>
              <a:cs typeface="Calibri"/>
            </a:rPr>
            <a:pPr marL="0" indent="0" algn="ctr"/>
            <a:t>15%</a:t>
          </a:fld>
          <a:endParaRPr lang="en-US" sz="2400" b="0" i="0" u="none" strike="noStrike">
            <a:solidFill>
              <a:srgbClr val="000000"/>
            </a:solidFill>
            <a:latin typeface="Arial Black" panose="020B0A04020102020204" pitchFamily="34" charset="0"/>
            <a:ea typeface="+mn-ea"/>
            <a:cs typeface="Calibri"/>
          </a:endParaRPr>
        </a:p>
      </xdr:txBody>
    </xdr:sp>
    <xdr:clientData/>
  </xdr:twoCellAnchor>
  <xdr:twoCellAnchor>
    <xdr:from>
      <xdr:col>17</xdr:col>
      <xdr:colOff>57150</xdr:colOff>
      <xdr:row>7</xdr:row>
      <xdr:rowOff>104776</xdr:rowOff>
    </xdr:from>
    <xdr:to>
      <xdr:col>18</xdr:col>
      <xdr:colOff>523875</xdr:colOff>
      <xdr:row>9</xdr:row>
      <xdr:rowOff>1</xdr:rowOff>
    </xdr:to>
    <xdr:sp macro="" textlink="KPI!$C$16">
      <xdr:nvSpPr>
        <xdr:cNvPr id="18" name="TextBox 17">
          <a:extLst>
            <a:ext uri="{FF2B5EF4-FFF2-40B4-BE49-F238E27FC236}">
              <a16:creationId xmlns:a16="http://schemas.microsoft.com/office/drawing/2014/main" id="{1730E030-61B9-A649-07AC-26E66926D745}"/>
            </a:ext>
          </a:extLst>
        </xdr:cNvPr>
        <xdr:cNvSpPr txBox="1"/>
      </xdr:nvSpPr>
      <xdr:spPr>
        <a:xfrm>
          <a:off x="10420350" y="1438276"/>
          <a:ext cx="10763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59B687-B3B6-4A9B-B2D5-588AD7292FA8}" type="TxLink">
            <a:rPr lang="en-US" sz="2400" b="0" i="0" u="none" strike="noStrike">
              <a:solidFill>
                <a:srgbClr val="000000"/>
              </a:solidFill>
              <a:latin typeface="Arial Black" panose="020B0A04020102020204" pitchFamily="34" charset="0"/>
              <a:ea typeface="+mn-ea"/>
              <a:cs typeface="Calibri"/>
            </a:rPr>
            <a:pPr marL="0" indent="0" algn="ctr"/>
            <a:t>40</a:t>
          </a:fld>
          <a:endParaRPr lang="en-US" sz="2400" b="0" i="0" u="none" strike="noStrike">
            <a:solidFill>
              <a:srgbClr val="000000"/>
            </a:solidFill>
            <a:latin typeface="Arial Black" panose="020B0A04020102020204" pitchFamily="34" charset="0"/>
            <a:ea typeface="+mn-ea"/>
            <a:cs typeface="Calibri"/>
          </a:endParaRPr>
        </a:p>
      </xdr:txBody>
    </xdr:sp>
    <xdr:clientData/>
  </xdr:twoCellAnchor>
  <xdr:twoCellAnchor>
    <xdr:from>
      <xdr:col>9</xdr:col>
      <xdr:colOff>276225</xdr:colOff>
      <xdr:row>7</xdr:row>
      <xdr:rowOff>90488</xdr:rowOff>
    </xdr:from>
    <xdr:to>
      <xdr:col>11</xdr:col>
      <xdr:colOff>133350</xdr:colOff>
      <xdr:row>9</xdr:row>
      <xdr:rowOff>14288</xdr:rowOff>
    </xdr:to>
    <xdr:sp macro="" textlink="KPI!$C$19">
      <xdr:nvSpPr>
        <xdr:cNvPr id="19" name="TextBox 18">
          <a:extLst>
            <a:ext uri="{FF2B5EF4-FFF2-40B4-BE49-F238E27FC236}">
              <a16:creationId xmlns:a16="http://schemas.microsoft.com/office/drawing/2014/main" id="{D7B3E66C-2CA5-4520-90B3-7006E915810F}"/>
            </a:ext>
          </a:extLst>
        </xdr:cNvPr>
        <xdr:cNvSpPr txBox="1"/>
      </xdr:nvSpPr>
      <xdr:spPr>
        <a:xfrm>
          <a:off x="5762625" y="1423988"/>
          <a:ext cx="1076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DC5C45-6275-4E70-B1A4-D6C840706445}" type="TxLink">
            <a:rPr lang="en-US" sz="2400" b="0" i="0" u="none" strike="noStrike">
              <a:solidFill>
                <a:srgbClr val="000000"/>
              </a:solidFill>
              <a:latin typeface="Arial Black" panose="020B0A04020102020204" pitchFamily="34" charset="0"/>
              <a:ea typeface="+mn-ea"/>
              <a:cs typeface="Calibri"/>
            </a:rPr>
            <a:pPr marL="0" indent="0" algn="ctr"/>
            <a:t>854</a:t>
          </a:fld>
          <a:endParaRPr lang="en-US" sz="2400" b="0" i="0" u="none" strike="noStrike">
            <a:solidFill>
              <a:srgbClr val="000000"/>
            </a:solidFill>
            <a:latin typeface="Arial Black" panose="020B0A04020102020204" pitchFamily="34" charset="0"/>
            <a:ea typeface="+mn-ea"/>
            <a:cs typeface="Calibri"/>
          </a:endParaRPr>
        </a:p>
      </xdr:txBody>
    </xdr:sp>
    <xdr:clientData/>
  </xdr:twoCellAnchor>
  <xdr:twoCellAnchor editAs="oneCell">
    <xdr:from>
      <xdr:col>10</xdr:col>
      <xdr:colOff>533400</xdr:colOff>
      <xdr:row>1</xdr:row>
      <xdr:rowOff>85725</xdr:rowOff>
    </xdr:from>
    <xdr:to>
      <xdr:col>11</xdr:col>
      <xdr:colOff>504825</xdr:colOff>
      <xdr:row>4</xdr:row>
      <xdr:rowOff>28575</xdr:rowOff>
    </xdr:to>
    <xdr:pic>
      <xdr:nvPicPr>
        <xdr:cNvPr id="12" name="Graphic 11" descr="Stars with solid fill">
          <a:extLst>
            <a:ext uri="{FF2B5EF4-FFF2-40B4-BE49-F238E27FC236}">
              <a16:creationId xmlns:a16="http://schemas.microsoft.com/office/drawing/2014/main" id="{AF948F5B-3D73-6D42-60AD-D4BEACA422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629400" y="276225"/>
          <a:ext cx="581025" cy="514350"/>
        </a:xfrm>
        <a:prstGeom prst="rect">
          <a:avLst/>
        </a:prstGeom>
      </xdr:spPr>
    </xdr:pic>
    <xdr:clientData/>
  </xdr:twoCellAnchor>
  <xdr:twoCellAnchor>
    <xdr:from>
      <xdr:col>11</xdr:col>
      <xdr:colOff>523874</xdr:colOff>
      <xdr:row>1</xdr:row>
      <xdr:rowOff>85725</xdr:rowOff>
    </xdr:from>
    <xdr:to>
      <xdr:col>14</xdr:col>
      <xdr:colOff>123825</xdr:colOff>
      <xdr:row>4</xdr:row>
      <xdr:rowOff>28576</xdr:rowOff>
    </xdr:to>
    <xdr:sp macro="" textlink="">
      <xdr:nvSpPr>
        <xdr:cNvPr id="13" name="TextBox 12">
          <a:extLst>
            <a:ext uri="{FF2B5EF4-FFF2-40B4-BE49-F238E27FC236}">
              <a16:creationId xmlns:a16="http://schemas.microsoft.com/office/drawing/2014/main" id="{5E0ACCA2-CB67-741E-7A0A-99F7C422E6BD}"/>
            </a:ext>
          </a:extLst>
        </xdr:cNvPr>
        <xdr:cNvSpPr txBox="1"/>
      </xdr:nvSpPr>
      <xdr:spPr>
        <a:xfrm>
          <a:off x="7229474" y="276225"/>
          <a:ext cx="1428751"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2">
                  <a:lumMod val="75000"/>
                </a:schemeClr>
              </a:solidFill>
            </a:rPr>
            <a:t>JOB</a:t>
          </a:r>
          <a:r>
            <a:rPr lang="en-US" sz="1200" b="1" baseline="0">
              <a:solidFill>
                <a:schemeClr val="accent2">
                  <a:lumMod val="75000"/>
                </a:schemeClr>
              </a:solidFill>
            </a:rPr>
            <a:t> SATISFACTION</a:t>
          </a:r>
        </a:p>
        <a:p>
          <a:pPr algn="ctr"/>
          <a:r>
            <a:rPr lang="en-US" sz="1200" b="1" baseline="0">
              <a:solidFill>
                <a:schemeClr val="accent2">
                  <a:lumMod val="75000"/>
                </a:schemeClr>
              </a:solidFill>
            </a:rPr>
            <a:t> RATING </a:t>
          </a:r>
          <a:endParaRPr lang="en-US" sz="1200" b="1">
            <a:solidFill>
              <a:schemeClr val="accent2">
                <a:lumMod val="75000"/>
              </a:schemeClr>
            </a:solidFill>
          </a:endParaRPr>
        </a:p>
      </xdr:txBody>
    </xdr:sp>
    <xdr:clientData/>
  </xdr:twoCellAnchor>
  <xdr:twoCellAnchor>
    <xdr:from>
      <xdr:col>14</xdr:col>
      <xdr:colOff>1</xdr:colOff>
      <xdr:row>1</xdr:row>
      <xdr:rowOff>47624</xdr:rowOff>
    </xdr:from>
    <xdr:to>
      <xdr:col>15</xdr:col>
      <xdr:colOff>142875</xdr:colOff>
      <xdr:row>4</xdr:row>
      <xdr:rowOff>114300</xdr:rowOff>
    </xdr:to>
    <xdr:graphicFrame macro="">
      <xdr:nvGraphicFramePr>
        <xdr:cNvPr id="20" name="Chart 19">
          <a:extLst>
            <a:ext uri="{FF2B5EF4-FFF2-40B4-BE49-F238E27FC236}">
              <a16:creationId xmlns:a16="http://schemas.microsoft.com/office/drawing/2014/main" id="{343E292A-7301-4019-80BB-11365D07D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238125</xdr:colOff>
      <xdr:row>2</xdr:row>
      <xdr:rowOff>57150</xdr:rowOff>
    </xdr:from>
    <xdr:to>
      <xdr:col>15</xdr:col>
      <xdr:colOff>47625</xdr:colOff>
      <xdr:row>3</xdr:row>
      <xdr:rowOff>66675</xdr:rowOff>
    </xdr:to>
    <xdr:sp macro="" textlink="'RATING '!$B$6">
      <xdr:nvSpPr>
        <xdr:cNvPr id="16" name="TextBox 15">
          <a:extLst>
            <a:ext uri="{FF2B5EF4-FFF2-40B4-BE49-F238E27FC236}">
              <a16:creationId xmlns:a16="http://schemas.microsoft.com/office/drawing/2014/main" id="{CD9E1372-2744-69E4-2F46-A5676D3B21EA}"/>
            </a:ext>
          </a:extLst>
        </xdr:cNvPr>
        <xdr:cNvSpPr txBox="1"/>
      </xdr:nvSpPr>
      <xdr:spPr>
        <a:xfrm>
          <a:off x="8772525" y="438150"/>
          <a:ext cx="4191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100831-442E-41DE-B700-88CB942D3637}" type="TxLink">
            <a:rPr lang="en-US" sz="1100" b="0" i="0" u="none" strike="noStrike">
              <a:solidFill>
                <a:srgbClr val="000000"/>
              </a:solidFill>
              <a:latin typeface="Calibri"/>
              <a:cs typeface="Calibri"/>
            </a:rPr>
            <a:pPr/>
            <a:t>2.5</a:t>
          </a:fld>
          <a:endParaRPr lang="en-US" sz="1100"/>
        </a:p>
      </xdr:txBody>
    </xdr:sp>
    <xdr:clientData/>
  </xdr:twoCellAnchor>
  <xdr:twoCellAnchor>
    <xdr:from>
      <xdr:col>15</xdr:col>
      <xdr:colOff>400050</xdr:colOff>
      <xdr:row>1</xdr:row>
      <xdr:rowOff>142875</xdr:rowOff>
    </xdr:from>
    <xdr:to>
      <xdr:col>19</xdr:col>
      <xdr:colOff>342899</xdr:colOff>
      <xdr:row>4</xdr:row>
      <xdr:rowOff>95250</xdr:rowOff>
    </xdr:to>
    <xdr:graphicFrame macro="">
      <xdr:nvGraphicFramePr>
        <xdr:cNvPr id="22" name="Chart 21">
          <a:extLst>
            <a:ext uri="{FF2B5EF4-FFF2-40B4-BE49-F238E27FC236}">
              <a16:creationId xmlns:a16="http://schemas.microsoft.com/office/drawing/2014/main" id="{867B844B-11BA-43AF-B750-C66FE20E4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419100</xdr:colOff>
      <xdr:row>1</xdr:row>
      <xdr:rowOff>142875</xdr:rowOff>
    </xdr:from>
    <xdr:to>
      <xdr:col>19</xdr:col>
      <xdr:colOff>366091</xdr:colOff>
      <xdr:row>4</xdr:row>
      <xdr:rowOff>154478</xdr:rowOff>
    </xdr:to>
    <xdr:sp macro="" textlink="">
      <xdr:nvSpPr>
        <xdr:cNvPr id="23" name="Freeform: Shape 22">
          <a:extLst>
            <a:ext uri="{FF2B5EF4-FFF2-40B4-BE49-F238E27FC236}">
              <a16:creationId xmlns:a16="http://schemas.microsoft.com/office/drawing/2014/main" id="{D411DA63-4CDA-4517-A673-DA40677917A7}"/>
            </a:ext>
          </a:extLst>
        </xdr:cNvPr>
        <xdr:cNvSpPr/>
      </xdr:nvSpPr>
      <xdr:spPr>
        <a:xfrm>
          <a:off x="9563100" y="333375"/>
          <a:ext cx="2385391" cy="583103"/>
        </a:xfrm>
        <a:custGeom>
          <a:avLst/>
          <a:gdLst>
            <a:gd name="connsiteX0" fmla="*/ 1967945 w 2385391"/>
            <a:gd name="connsiteY0" fmla="*/ 53012 h 583103"/>
            <a:gd name="connsiteX1" fmla="*/ 1908506 w 2385391"/>
            <a:gd name="connsiteY1" fmla="*/ 235241 h 583103"/>
            <a:gd name="connsiteX2" fmla="*/ 1716155 w 2385391"/>
            <a:gd name="connsiteY2" fmla="*/ 235239 h 583103"/>
            <a:gd name="connsiteX3" fmla="*/ 1871771 w 2385391"/>
            <a:gd name="connsiteY3" fmla="*/ 347862 h 583103"/>
            <a:gd name="connsiteX4" fmla="*/ 1812330 w 2385391"/>
            <a:gd name="connsiteY4" fmla="*/ 530090 h 583103"/>
            <a:gd name="connsiteX5" fmla="*/ 1967945 w 2385391"/>
            <a:gd name="connsiteY5" fmla="*/ 417465 h 583103"/>
            <a:gd name="connsiteX6" fmla="*/ 2123560 w 2385391"/>
            <a:gd name="connsiteY6" fmla="*/ 530090 h 583103"/>
            <a:gd name="connsiteX7" fmla="*/ 2064119 w 2385391"/>
            <a:gd name="connsiteY7" fmla="*/ 347862 h 583103"/>
            <a:gd name="connsiteX8" fmla="*/ 2219735 w 2385391"/>
            <a:gd name="connsiteY8" fmla="*/ 235239 h 583103"/>
            <a:gd name="connsiteX9" fmla="*/ 2027384 w 2385391"/>
            <a:gd name="connsiteY9" fmla="*/ 235241 h 583103"/>
            <a:gd name="connsiteX10" fmla="*/ 1444486 w 2385391"/>
            <a:gd name="connsiteY10" fmla="*/ 53012 h 583103"/>
            <a:gd name="connsiteX11" fmla="*/ 1385047 w 2385391"/>
            <a:gd name="connsiteY11" fmla="*/ 235241 h 583103"/>
            <a:gd name="connsiteX12" fmla="*/ 1192696 w 2385391"/>
            <a:gd name="connsiteY12" fmla="*/ 235239 h 583103"/>
            <a:gd name="connsiteX13" fmla="*/ 1348312 w 2385391"/>
            <a:gd name="connsiteY13" fmla="*/ 347862 h 583103"/>
            <a:gd name="connsiteX14" fmla="*/ 1288871 w 2385391"/>
            <a:gd name="connsiteY14" fmla="*/ 530090 h 583103"/>
            <a:gd name="connsiteX15" fmla="*/ 1444486 w 2385391"/>
            <a:gd name="connsiteY15" fmla="*/ 417465 h 583103"/>
            <a:gd name="connsiteX16" fmla="*/ 1600101 w 2385391"/>
            <a:gd name="connsiteY16" fmla="*/ 530090 h 583103"/>
            <a:gd name="connsiteX17" fmla="*/ 1540660 w 2385391"/>
            <a:gd name="connsiteY17" fmla="*/ 347862 h 583103"/>
            <a:gd name="connsiteX18" fmla="*/ 1696276 w 2385391"/>
            <a:gd name="connsiteY18" fmla="*/ 235239 h 583103"/>
            <a:gd name="connsiteX19" fmla="*/ 1503925 w 2385391"/>
            <a:gd name="connsiteY19" fmla="*/ 235241 h 583103"/>
            <a:gd name="connsiteX20" fmla="*/ 921027 w 2385391"/>
            <a:gd name="connsiteY20" fmla="*/ 53012 h 583103"/>
            <a:gd name="connsiteX21" fmla="*/ 861588 w 2385391"/>
            <a:gd name="connsiteY21" fmla="*/ 235241 h 583103"/>
            <a:gd name="connsiteX22" fmla="*/ 669237 w 2385391"/>
            <a:gd name="connsiteY22" fmla="*/ 235239 h 583103"/>
            <a:gd name="connsiteX23" fmla="*/ 824853 w 2385391"/>
            <a:gd name="connsiteY23" fmla="*/ 347862 h 583103"/>
            <a:gd name="connsiteX24" fmla="*/ 765412 w 2385391"/>
            <a:gd name="connsiteY24" fmla="*/ 530090 h 583103"/>
            <a:gd name="connsiteX25" fmla="*/ 921027 w 2385391"/>
            <a:gd name="connsiteY25" fmla="*/ 417465 h 583103"/>
            <a:gd name="connsiteX26" fmla="*/ 1076642 w 2385391"/>
            <a:gd name="connsiteY26" fmla="*/ 530090 h 583103"/>
            <a:gd name="connsiteX27" fmla="*/ 1017201 w 2385391"/>
            <a:gd name="connsiteY27" fmla="*/ 347862 h 583103"/>
            <a:gd name="connsiteX28" fmla="*/ 1172817 w 2385391"/>
            <a:gd name="connsiteY28" fmla="*/ 235239 h 583103"/>
            <a:gd name="connsiteX29" fmla="*/ 980466 w 2385391"/>
            <a:gd name="connsiteY29" fmla="*/ 235241 h 583103"/>
            <a:gd name="connsiteX30" fmla="*/ 384314 w 2385391"/>
            <a:gd name="connsiteY30" fmla="*/ 53012 h 583103"/>
            <a:gd name="connsiteX31" fmla="*/ 317054 w 2385391"/>
            <a:gd name="connsiteY31" fmla="*/ 235241 h 583103"/>
            <a:gd name="connsiteX32" fmla="*/ 99393 w 2385391"/>
            <a:gd name="connsiteY32" fmla="*/ 235239 h 583103"/>
            <a:gd name="connsiteX33" fmla="*/ 275485 w 2385391"/>
            <a:gd name="connsiteY33" fmla="*/ 347862 h 583103"/>
            <a:gd name="connsiteX34" fmla="*/ 208223 w 2385391"/>
            <a:gd name="connsiteY34" fmla="*/ 530090 h 583103"/>
            <a:gd name="connsiteX35" fmla="*/ 384314 w 2385391"/>
            <a:gd name="connsiteY35" fmla="*/ 417465 h 583103"/>
            <a:gd name="connsiteX36" fmla="*/ 560405 w 2385391"/>
            <a:gd name="connsiteY36" fmla="*/ 530090 h 583103"/>
            <a:gd name="connsiteX37" fmla="*/ 493143 w 2385391"/>
            <a:gd name="connsiteY37" fmla="*/ 347862 h 583103"/>
            <a:gd name="connsiteX38" fmla="*/ 669235 w 2385391"/>
            <a:gd name="connsiteY38" fmla="*/ 235239 h 583103"/>
            <a:gd name="connsiteX39" fmla="*/ 451574 w 2385391"/>
            <a:gd name="connsiteY39" fmla="*/ 235241 h 583103"/>
            <a:gd name="connsiteX40" fmla="*/ 0 w 2385391"/>
            <a:gd name="connsiteY40" fmla="*/ 0 h 583103"/>
            <a:gd name="connsiteX41" fmla="*/ 2385391 w 2385391"/>
            <a:gd name="connsiteY41" fmla="*/ 0 h 583103"/>
            <a:gd name="connsiteX42" fmla="*/ 2385391 w 2385391"/>
            <a:gd name="connsiteY42" fmla="*/ 583103 h 583103"/>
            <a:gd name="connsiteX43" fmla="*/ 0 w 2385391"/>
            <a:gd name="connsiteY43" fmla="*/ 583103 h 5831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385391" h="583103">
              <a:moveTo>
                <a:pt x="1967945" y="53012"/>
              </a:moveTo>
              <a:lnTo>
                <a:pt x="1908506" y="235241"/>
              </a:lnTo>
              <a:lnTo>
                <a:pt x="1716155" y="235239"/>
              </a:lnTo>
              <a:lnTo>
                <a:pt x="1871771" y="347862"/>
              </a:lnTo>
              <a:lnTo>
                <a:pt x="1812330" y="530090"/>
              </a:lnTo>
              <a:lnTo>
                <a:pt x="1967945" y="417465"/>
              </a:lnTo>
              <a:lnTo>
                <a:pt x="2123560" y="530090"/>
              </a:lnTo>
              <a:lnTo>
                <a:pt x="2064119" y="347862"/>
              </a:lnTo>
              <a:lnTo>
                <a:pt x="2219735" y="235239"/>
              </a:lnTo>
              <a:lnTo>
                <a:pt x="2027384" y="235241"/>
              </a:lnTo>
              <a:close/>
              <a:moveTo>
                <a:pt x="1444486" y="53012"/>
              </a:moveTo>
              <a:lnTo>
                <a:pt x="1385047" y="235241"/>
              </a:lnTo>
              <a:lnTo>
                <a:pt x="1192696" y="235239"/>
              </a:lnTo>
              <a:lnTo>
                <a:pt x="1348312" y="347862"/>
              </a:lnTo>
              <a:lnTo>
                <a:pt x="1288871" y="530090"/>
              </a:lnTo>
              <a:lnTo>
                <a:pt x="1444486" y="417465"/>
              </a:lnTo>
              <a:lnTo>
                <a:pt x="1600101" y="530090"/>
              </a:lnTo>
              <a:lnTo>
                <a:pt x="1540660" y="347862"/>
              </a:lnTo>
              <a:lnTo>
                <a:pt x="1696276" y="235239"/>
              </a:lnTo>
              <a:lnTo>
                <a:pt x="1503925" y="235241"/>
              </a:lnTo>
              <a:close/>
              <a:moveTo>
                <a:pt x="921027" y="53012"/>
              </a:moveTo>
              <a:lnTo>
                <a:pt x="861588" y="235241"/>
              </a:lnTo>
              <a:lnTo>
                <a:pt x="669237" y="235239"/>
              </a:lnTo>
              <a:lnTo>
                <a:pt x="824853" y="347862"/>
              </a:lnTo>
              <a:lnTo>
                <a:pt x="765412" y="530090"/>
              </a:lnTo>
              <a:lnTo>
                <a:pt x="921027" y="417465"/>
              </a:lnTo>
              <a:lnTo>
                <a:pt x="1076642" y="530090"/>
              </a:lnTo>
              <a:lnTo>
                <a:pt x="1017201" y="347862"/>
              </a:lnTo>
              <a:lnTo>
                <a:pt x="1172817" y="235239"/>
              </a:lnTo>
              <a:lnTo>
                <a:pt x="980466" y="235241"/>
              </a:lnTo>
              <a:close/>
              <a:moveTo>
                <a:pt x="384314" y="53012"/>
              </a:moveTo>
              <a:lnTo>
                <a:pt x="317054" y="235241"/>
              </a:lnTo>
              <a:lnTo>
                <a:pt x="99393" y="235239"/>
              </a:lnTo>
              <a:lnTo>
                <a:pt x="275485" y="347862"/>
              </a:lnTo>
              <a:lnTo>
                <a:pt x="208223" y="530090"/>
              </a:lnTo>
              <a:lnTo>
                <a:pt x="384314" y="417465"/>
              </a:lnTo>
              <a:lnTo>
                <a:pt x="560405" y="530090"/>
              </a:lnTo>
              <a:lnTo>
                <a:pt x="493143" y="347862"/>
              </a:lnTo>
              <a:lnTo>
                <a:pt x="669235" y="235239"/>
              </a:lnTo>
              <a:lnTo>
                <a:pt x="451574" y="235241"/>
              </a:lnTo>
              <a:close/>
              <a:moveTo>
                <a:pt x="0" y="0"/>
              </a:moveTo>
              <a:lnTo>
                <a:pt x="2385391" y="0"/>
              </a:lnTo>
              <a:lnTo>
                <a:pt x="2385391" y="583103"/>
              </a:lnTo>
              <a:lnTo>
                <a:pt x="0" y="583103"/>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152400</xdr:colOff>
      <xdr:row>10</xdr:row>
      <xdr:rowOff>123825</xdr:rowOff>
    </xdr:from>
    <xdr:to>
      <xdr:col>6</xdr:col>
      <xdr:colOff>161925</xdr:colOff>
      <xdr:row>21</xdr:row>
      <xdr:rowOff>133350</xdr:rowOff>
    </xdr:to>
    <xdr:sp macro="" textlink="">
      <xdr:nvSpPr>
        <xdr:cNvPr id="21" name="Rectangle 20">
          <a:extLst>
            <a:ext uri="{FF2B5EF4-FFF2-40B4-BE49-F238E27FC236}">
              <a16:creationId xmlns:a16="http://schemas.microsoft.com/office/drawing/2014/main" id="{63FEA5C9-60D9-4F23-91BC-1DF714F8836B}"/>
            </a:ext>
          </a:extLst>
        </xdr:cNvPr>
        <xdr:cNvSpPr/>
      </xdr:nvSpPr>
      <xdr:spPr>
        <a:xfrm>
          <a:off x="152400" y="2028825"/>
          <a:ext cx="3667125" cy="2105025"/>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 EMPLOYEES BY</a:t>
          </a:r>
          <a:r>
            <a:rPr lang="en-US" sz="1600" b="1" baseline="0">
              <a:solidFill>
                <a:schemeClr val="tx1"/>
              </a:solidFill>
              <a:latin typeface="+mn-lt"/>
              <a:ea typeface="+mn-ea"/>
              <a:cs typeface="+mn-cs"/>
            </a:rPr>
            <a:t> GENDER </a:t>
          </a:r>
        </a:p>
        <a:p>
          <a:pPr marL="0" indent="0" algn="ctr"/>
          <a:endParaRPr lang="en-US" sz="1600" b="1">
            <a:solidFill>
              <a:schemeClr val="tx1"/>
            </a:solidFill>
            <a:latin typeface="+mn-lt"/>
            <a:ea typeface="+mn-ea"/>
            <a:cs typeface="+mn-cs"/>
          </a:endParaRPr>
        </a:p>
      </xdr:txBody>
    </xdr:sp>
    <xdr:clientData/>
  </xdr:twoCellAnchor>
  <xdr:twoCellAnchor>
    <xdr:from>
      <xdr:col>0</xdr:col>
      <xdr:colOff>323849</xdr:colOff>
      <xdr:row>13</xdr:row>
      <xdr:rowOff>145256</xdr:rowOff>
    </xdr:from>
    <xdr:to>
      <xdr:col>3</xdr:col>
      <xdr:colOff>49529</xdr:colOff>
      <xdr:row>20</xdr:row>
      <xdr:rowOff>183356</xdr:rowOff>
    </xdr:to>
    <xdr:graphicFrame macro="">
      <xdr:nvGraphicFramePr>
        <xdr:cNvPr id="24" name="Chart 23">
          <a:extLst>
            <a:ext uri="{FF2B5EF4-FFF2-40B4-BE49-F238E27FC236}">
              <a16:creationId xmlns:a16="http://schemas.microsoft.com/office/drawing/2014/main" id="{4F879BD7-5F6A-4B4B-AB6D-AF4F1FEAD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333373</xdr:colOff>
      <xdr:row>14</xdr:row>
      <xdr:rowOff>19049</xdr:rowOff>
    </xdr:from>
    <xdr:to>
      <xdr:col>6</xdr:col>
      <xdr:colOff>59053</xdr:colOff>
      <xdr:row>21</xdr:row>
      <xdr:rowOff>57149</xdr:rowOff>
    </xdr:to>
    <xdr:graphicFrame macro="">
      <xdr:nvGraphicFramePr>
        <xdr:cNvPr id="25" name="Chart 24">
          <a:extLst>
            <a:ext uri="{FF2B5EF4-FFF2-40B4-BE49-F238E27FC236}">
              <a16:creationId xmlns:a16="http://schemas.microsoft.com/office/drawing/2014/main" id="{B02A0B21-A15D-40F8-8A27-12062DD35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257175</xdr:colOff>
      <xdr:row>16</xdr:row>
      <xdr:rowOff>52388</xdr:rowOff>
    </xdr:from>
    <xdr:to>
      <xdr:col>4</xdr:col>
      <xdr:colOff>104775</xdr:colOff>
      <xdr:row>18</xdr:row>
      <xdr:rowOff>176213</xdr:rowOff>
    </xdr:to>
    <xdr:pic>
      <xdr:nvPicPr>
        <xdr:cNvPr id="29" name="Graphic 28" descr="Male profile with solid fill">
          <a:extLst>
            <a:ext uri="{FF2B5EF4-FFF2-40B4-BE49-F238E27FC236}">
              <a16:creationId xmlns:a16="http://schemas.microsoft.com/office/drawing/2014/main" id="{2411FE38-4566-E407-1038-5E41233426C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085975" y="3100388"/>
          <a:ext cx="457200" cy="504825"/>
        </a:xfrm>
        <a:prstGeom prst="rect">
          <a:avLst/>
        </a:prstGeom>
      </xdr:spPr>
    </xdr:pic>
    <xdr:clientData/>
  </xdr:twoCellAnchor>
  <xdr:twoCellAnchor editAs="oneCell">
    <xdr:from>
      <xdr:col>2</xdr:col>
      <xdr:colOff>314325</xdr:colOff>
      <xdr:row>16</xdr:row>
      <xdr:rowOff>61913</xdr:rowOff>
    </xdr:from>
    <xdr:to>
      <xdr:col>3</xdr:col>
      <xdr:colOff>161925</xdr:colOff>
      <xdr:row>18</xdr:row>
      <xdr:rowOff>185738</xdr:rowOff>
    </xdr:to>
    <xdr:pic>
      <xdr:nvPicPr>
        <xdr:cNvPr id="31" name="Graphic 30" descr="Female Profile with solid fill">
          <a:extLst>
            <a:ext uri="{FF2B5EF4-FFF2-40B4-BE49-F238E27FC236}">
              <a16:creationId xmlns:a16="http://schemas.microsoft.com/office/drawing/2014/main" id="{2514316D-ADCB-6DD2-7291-E0359BE5EE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533525" y="3109913"/>
          <a:ext cx="457200" cy="504825"/>
        </a:xfrm>
        <a:prstGeom prst="rect">
          <a:avLst/>
        </a:prstGeom>
      </xdr:spPr>
    </xdr:pic>
    <xdr:clientData/>
  </xdr:twoCellAnchor>
  <xdr:twoCellAnchor>
    <xdr:from>
      <xdr:col>1</xdr:col>
      <xdr:colOff>219076</xdr:colOff>
      <xdr:row>17</xdr:row>
      <xdr:rowOff>19049</xdr:rowOff>
    </xdr:from>
    <xdr:to>
      <xdr:col>2</xdr:col>
      <xdr:colOff>76200</xdr:colOff>
      <xdr:row>18</xdr:row>
      <xdr:rowOff>123825</xdr:rowOff>
    </xdr:to>
    <xdr:sp macro="" textlink="'gender '!B8">
      <xdr:nvSpPr>
        <xdr:cNvPr id="32" name="TextBox 31">
          <a:extLst>
            <a:ext uri="{FF2B5EF4-FFF2-40B4-BE49-F238E27FC236}">
              <a16:creationId xmlns:a16="http://schemas.microsoft.com/office/drawing/2014/main" id="{F0DB491E-7C3A-1CE3-445F-90DBCF4BEC62}"/>
            </a:ext>
          </a:extLst>
        </xdr:cNvPr>
        <xdr:cNvSpPr txBox="1"/>
      </xdr:nvSpPr>
      <xdr:spPr>
        <a:xfrm>
          <a:off x="828676" y="3257549"/>
          <a:ext cx="466724"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0C176E-CA22-4A8A-817C-406358BF1DCB}" type="TxLink">
            <a:rPr lang="en-US" sz="1100" b="1" i="0" u="none" strike="noStrike">
              <a:solidFill>
                <a:srgbClr val="000000"/>
              </a:solidFill>
              <a:latin typeface="Arial Black" panose="020B0A04020102020204" pitchFamily="34" charset="0"/>
              <a:cs typeface="Calibri"/>
            </a:rPr>
            <a:pPr/>
            <a:t>526</a:t>
          </a:fld>
          <a:endParaRPr lang="en-US" sz="1100" b="1">
            <a:latin typeface="Arial Black" panose="020B0A04020102020204" pitchFamily="34" charset="0"/>
          </a:endParaRPr>
        </a:p>
      </xdr:txBody>
    </xdr:sp>
    <xdr:clientData/>
  </xdr:twoCellAnchor>
  <xdr:twoCellAnchor editAs="oneCell">
    <xdr:from>
      <xdr:col>2</xdr:col>
      <xdr:colOff>0</xdr:colOff>
      <xdr:row>12</xdr:row>
      <xdr:rowOff>38100</xdr:rowOff>
    </xdr:from>
    <xdr:to>
      <xdr:col>4</xdr:col>
      <xdr:colOff>260985</xdr:colOff>
      <xdr:row>15</xdr:row>
      <xdr:rowOff>104775</xdr:rowOff>
    </xdr:to>
    <mc:AlternateContent xmlns:mc="http://schemas.openxmlformats.org/markup-compatibility/2006" xmlns:a14="http://schemas.microsoft.com/office/drawing/2010/main">
      <mc:Choice Requires="a14">
        <xdr:graphicFrame macro="">
          <xdr:nvGraphicFramePr>
            <xdr:cNvPr id="33" name="Gender 3">
              <a:extLst>
                <a:ext uri="{FF2B5EF4-FFF2-40B4-BE49-F238E27FC236}">
                  <a16:creationId xmlns:a16="http://schemas.microsoft.com/office/drawing/2014/main" id="{3118D560-5005-4C65-B9B4-184DAAD2454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19200" y="2324100"/>
              <a:ext cx="1480185"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347662</xdr:colOff>
      <xdr:row>10</xdr:row>
      <xdr:rowOff>109537</xdr:rowOff>
    </xdr:from>
    <xdr:to>
      <xdr:col>12</xdr:col>
      <xdr:colOff>366712</xdr:colOff>
      <xdr:row>21</xdr:row>
      <xdr:rowOff>147637</xdr:rowOff>
    </xdr:to>
    <xdr:sp macro="" textlink="">
      <xdr:nvSpPr>
        <xdr:cNvPr id="30" name="Rectangle 29">
          <a:extLst>
            <a:ext uri="{FF2B5EF4-FFF2-40B4-BE49-F238E27FC236}">
              <a16:creationId xmlns:a16="http://schemas.microsoft.com/office/drawing/2014/main" id="{374811BC-240C-4D5C-88B6-D66F178409D6}"/>
            </a:ext>
          </a:extLst>
        </xdr:cNvPr>
        <xdr:cNvSpPr/>
      </xdr:nvSpPr>
      <xdr:spPr>
        <a:xfrm>
          <a:off x="4005262" y="2014537"/>
          <a:ext cx="3676650" cy="2133600"/>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EDUCATION WISE ATTRITION </a:t>
          </a:r>
        </a:p>
        <a:p>
          <a:pPr marL="0" indent="0" algn="ctr"/>
          <a:r>
            <a:rPr lang="en-US" sz="1600" b="1">
              <a:solidFill>
                <a:schemeClr val="tx1"/>
              </a:solidFill>
              <a:latin typeface="+mn-lt"/>
              <a:ea typeface="+mn-ea"/>
              <a:cs typeface="+mn-cs"/>
            </a:rPr>
            <a:t> </a:t>
          </a:r>
        </a:p>
      </xdr:txBody>
    </xdr:sp>
    <xdr:clientData/>
  </xdr:twoCellAnchor>
  <xdr:twoCellAnchor>
    <xdr:from>
      <xdr:col>6</xdr:col>
      <xdr:colOff>333375</xdr:colOff>
      <xdr:row>11</xdr:row>
      <xdr:rowOff>180975</xdr:rowOff>
    </xdr:from>
    <xdr:to>
      <xdr:col>12</xdr:col>
      <xdr:colOff>200025</xdr:colOff>
      <xdr:row>21</xdr:row>
      <xdr:rowOff>57150</xdr:rowOff>
    </xdr:to>
    <xdr:graphicFrame macro="">
      <xdr:nvGraphicFramePr>
        <xdr:cNvPr id="28" name="Chart 27">
          <a:extLst>
            <a:ext uri="{FF2B5EF4-FFF2-40B4-BE49-F238E27FC236}">
              <a16:creationId xmlns:a16="http://schemas.microsoft.com/office/drawing/2014/main" id="{BA6F0951-95ED-4C6E-9C3E-D590C65AA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552449</xdr:colOff>
      <xdr:row>10</xdr:row>
      <xdr:rowOff>109537</xdr:rowOff>
    </xdr:from>
    <xdr:to>
      <xdr:col>20</xdr:col>
      <xdr:colOff>123824</xdr:colOff>
      <xdr:row>21</xdr:row>
      <xdr:rowOff>147637</xdr:rowOff>
    </xdr:to>
    <xdr:sp macro="" textlink="">
      <xdr:nvSpPr>
        <xdr:cNvPr id="35" name="Rectangle 34">
          <a:extLst>
            <a:ext uri="{FF2B5EF4-FFF2-40B4-BE49-F238E27FC236}">
              <a16:creationId xmlns:a16="http://schemas.microsoft.com/office/drawing/2014/main" id="{81731A51-3613-7172-53A4-CCE6993535AE}"/>
            </a:ext>
          </a:extLst>
        </xdr:cNvPr>
        <xdr:cNvSpPr/>
      </xdr:nvSpPr>
      <xdr:spPr>
        <a:xfrm>
          <a:off x="7867649" y="2014537"/>
          <a:ext cx="4448175" cy="2133600"/>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ATTRITION</a:t>
          </a:r>
          <a:r>
            <a:rPr lang="en-US" sz="1600" b="1" baseline="0">
              <a:solidFill>
                <a:schemeClr val="tx1"/>
              </a:solidFill>
              <a:latin typeface="+mn-lt"/>
              <a:ea typeface="+mn-ea"/>
              <a:cs typeface="+mn-cs"/>
            </a:rPr>
            <a:t> BY JOB ROLE </a:t>
          </a:r>
          <a:r>
            <a:rPr lang="en-US" sz="1600" b="1">
              <a:solidFill>
                <a:schemeClr val="tx1"/>
              </a:solidFill>
              <a:latin typeface="+mn-lt"/>
              <a:ea typeface="+mn-ea"/>
              <a:cs typeface="+mn-cs"/>
            </a:rPr>
            <a:t> </a:t>
          </a:r>
        </a:p>
      </xdr:txBody>
    </xdr:sp>
    <xdr:clientData/>
  </xdr:twoCellAnchor>
  <xdr:twoCellAnchor>
    <xdr:from>
      <xdr:col>12</xdr:col>
      <xdr:colOff>600074</xdr:colOff>
      <xdr:row>12</xdr:row>
      <xdr:rowOff>9526</xdr:rowOff>
    </xdr:from>
    <xdr:to>
      <xdr:col>20</xdr:col>
      <xdr:colOff>57149</xdr:colOff>
      <xdr:row>21</xdr:row>
      <xdr:rowOff>76200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C59304A5-C1E7-4BC7-ADBB-64D36CBEDC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915274" y="2295526"/>
              <a:ext cx="4333875" cy="17811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161925</xdr:colOff>
      <xdr:row>22</xdr:row>
      <xdr:rowOff>180975</xdr:rowOff>
    </xdr:from>
    <xdr:to>
      <xdr:col>5</xdr:col>
      <xdr:colOff>552450</xdr:colOff>
      <xdr:row>33</xdr:row>
      <xdr:rowOff>171450</xdr:rowOff>
    </xdr:to>
    <xdr:sp macro="" textlink="">
      <xdr:nvSpPr>
        <xdr:cNvPr id="36" name="Rectangle 35">
          <a:extLst>
            <a:ext uri="{FF2B5EF4-FFF2-40B4-BE49-F238E27FC236}">
              <a16:creationId xmlns:a16="http://schemas.microsoft.com/office/drawing/2014/main" id="{979011CB-137E-8F01-5876-B38A283B0279}"/>
            </a:ext>
          </a:extLst>
        </xdr:cNvPr>
        <xdr:cNvSpPr/>
      </xdr:nvSpPr>
      <xdr:spPr>
        <a:xfrm>
          <a:off x="161925" y="4371975"/>
          <a:ext cx="3438525" cy="2085975"/>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ATTRITION BY DEPARTMENT</a:t>
          </a:r>
          <a:r>
            <a:rPr lang="en-US" sz="1600" b="1" baseline="0">
              <a:solidFill>
                <a:schemeClr val="tx1"/>
              </a:solidFill>
              <a:latin typeface="+mn-lt"/>
              <a:ea typeface="+mn-ea"/>
              <a:cs typeface="+mn-cs"/>
            </a:rPr>
            <a:t> </a:t>
          </a:r>
        </a:p>
        <a:p>
          <a:pPr marL="0" indent="0" algn="ctr"/>
          <a:endParaRPr lang="en-US" sz="1600" b="1">
            <a:solidFill>
              <a:schemeClr val="tx1"/>
            </a:solidFill>
            <a:latin typeface="+mn-lt"/>
            <a:ea typeface="+mn-ea"/>
            <a:cs typeface="+mn-cs"/>
          </a:endParaRPr>
        </a:p>
      </xdr:txBody>
    </xdr:sp>
    <xdr:clientData/>
  </xdr:twoCellAnchor>
  <xdr:twoCellAnchor>
    <xdr:from>
      <xdr:col>0</xdr:col>
      <xdr:colOff>276225</xdr:colOff>
      <xdr:row>24</xdr:row>
      <xdr:rowOff>57149</xdr:rowOff>
    </xdr:from>
    <xdr:to>
      <xdr:col>5</xdr:col>
      <xdr:colOff>419100</xdr:colOff>
      <xdr:row>33</xdr:row>
      <xdr:rowOff>57150</xdr:rowOff>
    </xdr:to>
    <xdr:graphicFrame macro="">
      <xdr:nvGraphicFramePr>
        <xdr:cNvPr id="38" name="Chart 37">
          <a:extLst>
            <a:ext uri="{FF2B5EF4-FFF2-40B4-BE49-F238E27FC236}">
              <a16:creationId xmlns:a16="http://schemas.microsoft.com/office/drawing/2014/main" id="{857D50F6-B3B7-4E67-BFBD-D8ACC761E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28576</xdr:colOff>
      <xdr:row>22</xdr:row>
      <xdr:rowOff>171450</xdr:rowOff>
    </xdr:from>
    <xdr:to>
      <xdr:col>10</xdr:col>
      <xdr:colOff>390525</xdr:colOff>
      <xdr:row>33</xdr:row>
      <xdr:rowOff>180975</xdr:rowOff>
    </xdr:to>
    <xdr:sp macro="" textlink="">
      <xdr:nvSpPr>
        <xdr:cNvPr id="39" name="Rectangle 38">
          <a:extLst>
            <a:ext uri="{FF2B5EF4-FFF2-40B4-BE49-F238E27FC236}">
              <a16:creationId xmlns:a16="http://schemas.microsoft.com/office/drawing/2014/main" id="{153A597F-8519-2C1D-FFA1-C04A450BF5AE}"/>
            </a:ext>
          </a:extLst>
        </xdr:cNvPr>
        <xdr:cNvSpPr/>
      </xdr:nvSpPr>
      <xdr:spPr>
        <a:xfrm>
          <a:off x="3686176" y="4362450"/>
          <a:ext cx="2800349" cy="2105025"/>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ATTRITION BY AGE</a:t>
          </a:r>
          <a:r>
            <a:rPr lang="en-US" sz="1600" b="1" baseline="0">
              <a:solidFill>
                <a:schemeClr val="tx1"/>
              </a:solidFill>
              <a:latin typeface="+mn-lt"/>
              <a:ea typeface="+mn-ea"/>
              <a:cs typeface="+mn-cs"/>
            </a:rPr>
            <a:t> GROUP </a:t>
          </a:r>
        </a:p>
        <a:p>
          <a:pPr marL="0" indent="0" algn="ctr"/>
          <a:r>
            <a:rPr lang="en-US" sz="1600" b="1" baseline="0">
              <a:solidFill>
                <a:schemeClr val="tx1"/>
              </a:solidFill>
              <a:latin typeface="+mn-lt"/>
              <a:ea typeface="+mn-ea"/>
              <a:cs typeface="+mn-cs"/>
            </a:rPr>
            <a:t> </a:t>
          </a:r>
        </a:p>
        <a:p>
          <a:pPr marL="0" indent="0" algn="ctr"/>
          <a:endParaRPr lang="en-US" sz="1600" b="1">
            <a:solidFill>
              <a:schemeClr val="tx1"/>
            </a:solidFill>
            <a:latin typeface="+mn-lt"/>
            <a:ea typeface="+mn-ea"/>
            <a:cs typeface="+mn-cs"/>
          </a:endParaRPr>
        </a:p>
      </xdr:txBody>
    </xdr:sp>
    <xdr:clientData/>
  </xdr:twoCellAnchor>
  <xdr:twoCellAnchor>
    <xdr:from>
      <xdr:col>10</xdr:col>
      <xdr:colOff>495301</xdr:colOff>
      <xdr:row>22</xdr:row>
      <xdr:rowOff>161925</xdr:rowOff>
    </xdr:from>
    <xdr:to>
      <xdr:col>15</xdr:col>
      <xdr:colOff>190500</xdr:colOff>
      <xdr:row>33</xdr:row>
      <xdr:rowOff>171450</xdr:rowOff>
    </xdr:to>
    <xdr:sp macro="" textlink="">
      <xdr:nvSpPr>
        <xdr:cNvPr id="40" name="Rectangle 39">
          <a:extLst>
            <a:ext uri="{FF2B5EF4-FFF2-40B4-BE49-F238E27FC236}">
              <a16:creationId xmlns:a16="http://schemas.microsoft.com/office/drawing/2014/main" id="{62835BD4-766E-3BF7-B3D1-1CDB74250ECB}"/>
            </a:ext>
          </a:extLst>
        </xdr:cNvPr>
        <xdr:cNvSpPr/>
      </xdr:nvSpPr>
      <xdr:spPr>
        <a:xfrm>
          <a:off x="6591301" y="4352925"/>
          <a:ext cx="2743199" cy="2105025"/>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ATTRITION BY MARTIAL</a:t>
          </a:r>
          <a:r>
            <a:rPr lang="en-US" sz="1600" b="1" baseline="0">
              <a:solidFill>
                <a:schemeClr val="tx1"/>
              </a:solidFill>
              <a:latin typeface="+mn-lt"/>
              <a:ea typeface="+mn-ea"/>
              <a:cs typeface="+mn-cs"/>
            </a:rPr>
            <a:t> STATUS </a:t>
          </a:r>
        </a:p>
        <a:p>
          <a:pPr marL="0" indent="0" algn="ctr"/>
          <a:r>
            <a:rPr lang="en-US" sz="1600" b="1" baseline="0">
              <a:solidFill>
                <a:schemeClr val="tx1"/>
              </a:solidFill>
              <a:latin typeface="+mn-lt"/>
              <a:ea typeface="+mn-ea"/>
              <a:cs typeface="+mn-cs"/>
            </a:rPr>
            <a:t> </a:t>
          </a:r>
        </a:p>
        <a:p>
          <a:pPr marL="0" indent="0" algn="ctr"/>
          <a:endParaRPr lang="en-US" sz="1600" b="1">
            <a:solidFill>
              <a:schemeClr val="tx1"/>
            </a:solidFill>
            <a:latin typeface="+mn-lt"/>
            <a:ea typeface="+mn-ea"/>
            <a:cs typeface="+mn-cs"/>
          </a:endParaRPr>
        </a:p>
      </xdr:txBody>
    </xdr:sp>
    <xdr:clientData/>
  </xdr:twoCellAnchor>
  <xdr:twoCellAnchor>
    <xdr:from>
      <xdr:col>15</xdr:col>
      <xdr:colOff>257176</xdr:colOff>
      <xdr:row>22</xdr:row>
      <xdr:rowOff>171450</xdr:rowOff>
    </xdr:from>
    <xdr:to>
      <xdr:col>20</xdr:col>
      <xdr:colOff>66675</xdr:colOff>
      <xdr:row>33</xdr:row>
      <xdr:rowOff>180975</xdr:rowOff>
    </xdr:to>
    <xdr:sp macro="" textlink="">
      <xdr:nvSpPr>
        <xdr:cNvPr id="41" name="Rectangle 40">
          <a:extLst>
            <a:ext uri="{FF2B5EF4-FFF2-40B4-BE49-F238E27FC236}">
              <a16:creationId xmlns:a16="http://schemas.microsoft.com/office/drawing/2014/main" id="{3B9675E2-CE80-CE29-5581-2DA6F5C2BC74}"/>
            </a:ext>
          </a:extLst>
        </xdr:cNvPr>
        <xdr:cNvSpPr/>
      </xdr:nvSpPr>
      <xdr:spPr>
        <a:xfrm>
          <a:off x="9401176" y="4362450"/>
          <a:ext cx="2857499" cy="2105025"/>
        </a:xfrm>
        <a:prstGeom prst="rect">
          <a:avLst/>
        </a:prstGeom>
        <a:solidFill>
          <a:schemeClr val="accent6">
            <a:lumMod val="40000"/>
            <a:lumOff val="60000"/>
          </a:schemeClr>
        </a:solidFill>
        <a:ln>
          <a:solidFill>
            <a:schemeClr val="accent5">
              <a:lumMod val="75000"/>
            </a:schemeClr>
          </a:solid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FILTER PANNEL </a:t>
          </a:r>
        </a:p>
      </xdr:txBody>
    </xdr:sp>
    <xdr:clientData/>
  </xdr:twoCellAnchor>
  <xdr:twoCellAnchor>
    <xdr:from>
      <xdr:col>6</xdr:col>
      <xdr:colOff>104776</xdr:colOff>
      <xdr:row>24</xdr:row>
      <xdr:rowOff>85725</xdr:rowOff>
    </xdr:from>
    <xdr:to>
      <xdr:col>10</xdr:col>
      <xdr:colOff>304800</xdr:colOff>
      <xdr:row>33</xdr:row>
      <xdr:rowOff>123825</xdr:rowOff>
    </xdr:to>
    <xdr:graphicFrame macro="">
      <xdr:nvGraphicFramePr>
        <xdr:cNvPr id="42" name="Chart 41">
          <a:extLst>
            <a:ext uri="{FF2B5EF4-FFF2-40B4-BE49-F238E27FC236}">
              <a16:creationId xmlns:a16="http://schemas.microsoft.com/office/drawing/2014/main" id="{79F1481A-81FC-4364-BC17-B3EA2BE4A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590550</xdr:colOff>
      <xdr:row>25</xdr:row>
      <xdr:rowOff>66675</xdr:rowOff>
    </xdr:from>
    <xdr:to>
      <xdr:col>15</xdr:col>
      <xdr:colOff>85725</xdr:colOff>
      <xdr:row>33</xdr:row>
      <xdr:rowOff>85725</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83809F06-43A6-4AF6-A194-010D4557CE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686550" y="4829175"/>
              <a:ext cx="2543175" cy="1543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498929</xdr:colOff>
      <xdr:row>24</xdr:row>
      <xdr:rowOff>90714</xdr:rowOff>
    </xdr:from>
    <xdr:to>
      <xdr:col>19</xdr:col>
      <xdr:colOff>589643</xdr:colOff>
      <xdr:row>33</xdr:row>
      <xdr:rowOff>93164</xdr:rowOff>
    </xdr:to>
    <mc:AlternateContent xmlns:mc="http://schemas.openxmlformats.org/markup-compatibility/2006">
      <mc:Choice xmlns:a14="http://schemas.microsoft.com/office/drawing/2010/main" Requires="a14">
        <xdr:graphicFrame macro="">
          <xdr:nvGraphicFramePr>
            <xdr:cNvPr id="44" name="Department 1">
              <a:extLst>
                <a:ext uri="{FF2B5EF4-FFF2-40B4-BE49-F238E27FC236}">
                  <a16:creationId xmlns:a16="http://schemas.microsoft.com/office/drawing/2014/main" id="{1EA778D3-14A7-4BC5-872E-728D3E38D96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803247" y="4543961"/>
              <a:ext cx="1302987" cy="1672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351517</xdr:colOff>
      <xdr:row>24</xdr:row>
      <xdr:rowOff>90714</xdr:rowOff>
    </xdr:from>
    <xdr:to>
      <xdr:col>17</xdr:col>
      <xdr:colOff>498474</xdr:colOff>
      <xdr:row>33</xdr:row>
      <xdr:rowOff>93164</xdr:rowOff>
    </xdr:to>
    <mc:AlternateContent xmlns:mc="http://schemas.openxmlformats.org/markup-compatibility/2006">
      <mc:Choice xmlns:a14="http://schemas.microsoft.com/office/drawing/2010/main" Requires="a14">
        <xdr:graphicFrame macro="">
          <xdr:nvGraphicFramePr>
            <xdr:cNvPr id="45" name="Education Field 3">
              <a:extLst>
                <a:ext uri="{FF2B5EF4-FFF2-40B4-BE49-F238E27FC236}">
                  <a16:creationId xmlns:a16="http://schemas.microsoft.com/office/drawing/2014/main" id="{A1C5D937-17A4-43D8-BA37-B8994F9F2664}"/>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9443562" y="4543961"/>
              <a:ext cx="1359230" cy="1672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0.3942</cdr:x>
      <cdr:y>0.39815</cdr:y>
    </cdr:from>
    <cdr:to>
      <cdr:x>0.70466</cdr:x>
      <cdr:y>0.59722</cdr:y>
    </cdr:to>
    <cdr:sp macro="" textlink="'gender '!$B$9">
      <cdr:nvSpPr>
        <cdr:cNvPr id="2" name="TextBox 31">
          <a:extLst xmlns:a="http://schemas.openxmlformats.org/drawingml/2006/main">
            <a:ext uri="{FF2B5EF4-FFF2-40B4-BE49-F238E27FC236}">
              <a16:creationId xmlns:a16="http://schemas.microsoft.com/office/drawing/2014/main" id="{F0DB491E-7C3A-1CE3-445F-90DBCF4BEC62}"/>
            </a:ext>
          </a:extLst>
        </cdr:cNvPr>
        <cdr:cNvSpPr txBox="1"/>
      </cdr:nvSpPr>
      <cdr:spPr>
        <a:xfrm xmlns:a="http://schemas.openxmlformats.org/drawingml/2006/main">
          <a:off x="612775" y="546100"/>
          <a:ext cx="482601" cy="27305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152B72AA-CA45-4A81-8D70-9CB168E2A96D}" type="TxLink">
            <a:rPr lang="en-US" sz="1100" b="0" i="0" u="none" strike="noStrike">
              <a:solidFill>
                <a:srgbClr val="000000"/>
              </a:solidFill>
              <a:latin typeface="Arial Black" panose="020B0A04020102020204" pitchFamily="34" charset="0"/>
              <a:cs typeface="Calibri"/>
            </a:rPr>
            <a:pPr/>
            <a:t>474</a:t>
          </a:fld>
          <a:endParaRPr lang="en-US" sz="1100">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209.541557175929" createdVersion="8" refreshedVersion="8" minRefreshableVersion="3" recordCount="1000" xr:uid="{00000000-000A-0000-FFFF-FFFF0D000000}">
  <cacheSource type="worksheet">
    <worksheetSource name="Table1_2"/>
  </cacheSource>
  <cacheFields count="24">
    <cacheField name="Attrition" numFmtId="0">
      <sharedItems count="2">
        <s v="No"/>
        <s v="Yes"/>
      </sharedItems>
    </cacheField>
    <cacheField name="Business Travel" numFmtId="0">
      <sharedItems/>
    </cacheField>
    <cacheField name="CF_age band" numFmtId="0">
      <sharedItems count="5">
        <s v="Under 25"/>
        <s v="25 - 34"/>
        <s v="35 - 44"/>
        <s v="Over 55"/>
        <s v="45 - 54"/>
      </sharedItems>
    </cacheField>
    <cacheField name="CF_attrition label" numFmtId="0">
      <sharedItems/>
    </cacheField>
    <cacheField name="Department" numFmtId="0">
      <sharedItems count="6">
        <s v="HR"/>
        <s v="Finance"/>
        <s v="IT"/>
        <s v="R&amp;D"/>
        <s v="Sales"/>
        <s v="Marketing"/>
      </sharedItems>
    </cacheField>
    <cacheField name="Education Field" numFmtId="0">
      <sharedItems count="6">
        <s v="Medical"/>
        <s v="Human Resources"/>
        <s v="Marketing"/>
        <s v="Other"/>
        <s v="Life Sciences"/>
        <s v="Technical Degree"/>
      </sharedItems>
    </cacheField>
    <cacheField name="emp no" numFmtId="0">
      <sharedItems/>
    </cacheField>
    <cacheField name="Employee Number" numFmtId="0">
      <sharedItems containsSemiMixedTypes="0" containsString="0" containsNumber="1" containsInteger="1" minValue="1" maxValue="1000"/>
    </cacheField>
    <cacheField name="Gender" numFmtId="0">
      <sharedItems count="2">
        <s v="Male"/>
        <s v="Female"/>
      </sharedItems>
    </cacheField>
    <cacheField name="Job Role" numFmtId="0">
      <sharedItems count="10">
        <s v="Research Scientist"/>
        <s v="Healthcare Representative"/>
        <s v="Data Analyst"/>
        <s v="Manager"/>
        <s v="Developer"/>
        <s v="Sales Executive"/>
        <s v="Laboratory Technician"/>
        <s v="Human Resources"/>
        <s v="Manufacturing Director"/>
        <s v="Sales Representative"/>
      </sharedItems>
    </cacheField>
    <cacheField name="Marital Status" numFmtId="0">
      <sharedItems count="3">
        <s v="Divorced"/>
        <s v="Married"/>
        <s v="Single"/>
      </sharedItems>
    </cacheField>
    <cacheField name="Over Time" numFmtId="0">
      <sharedItems/>
    </cacheField>
    <cacheField name="Age" numFmtId="0">
      <sharedItems containsSemiMixedTypes="0" containsString="0" containsNumber="1" containsInteger="1" minValue="21" maxValue="60"/>
    </cacheField>
    <cacheField name="Monthly Income" numFmtId="0">
      <sharedItems containsSemiMixedTypes="0" containsString="0" containsNumber="1" containsInteger="1" minValue="18022" maxValue="179675"/>
    </cacheField>
    <cacheField name="Job Satisfaction" numFmtId="0">
      <sharedItems containsSemiMixedTypes="0" containsString="0" containsNumber="1" containsInteger="1" minValue="1" maxValue="4"/>
    </cacheField>
    <cacheField name="Environment Satisfaction"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Total Working Years" numFmtId="0">
      <sharedItems containsSemiMixedTypes="0" containsString="0" containsNumber="1" containsInteger="1" minValue="0" maxValue="42"/>
    </cacheField>
    <cacheField name="Training Times Last Year" numFmtId="0">
      <sharedItems containsSemiMixedTypes="0" containsString="0" containsNumber="1" containsInteger="1" minValue="0" maxValue="6"/>
    </cacheField>
    <cacheField name="Work Life Balance" numFmtId="0">
      <sharedItems containsSemiMixedTypes="0" containsString="0" containsNumber="1" containsInteger="1" minValue="1" maxValue="4"/>
    </cacheField>
    <cacheField name="Performance Rating" numFmtId="0">
      <sharedItems containsSemiMixedTypes="0" containsString="0" containsNumber="1" containsInteger="1" minValue="3" maxValue="4"/>
    </cacheField>
    <cacheField name="Distance From Home" numFmtId="0">
      <sharedItems containsSemiMixedTypes="0" containsString="0" containsNumber="1" containsInteger="1" minValue="1" maxValue="30"/>
    </cacheField>
    <cacheField name="Education" numFmtId="0">
      <sharedItems containsSemiMixedTypes="0" containsString="0" containsNumber="1" containsInteger="1" minValue="1" maxValue="5" count="5">
        <n v="5"/>
        <n v="1"/>
        <n v="4"/>
        <n v="3"/>
        <n v="2"/>
      </sharedItems>
    </cacheField>
    <cacheField name="Attrition Count " numFmtId="0">
      <sharedItems containsString="0" containsBlank="1" containsNumber="1" containsInteger="1" minValue="146" maxValue="146"/>
    </cacheField>
  </cacheFields>
  <extLst>
    <ext xmlns:x14="http://schemas.microsoft.com/office/spreadsheetml/2009/9/main" uri="{725AE2AE-9491-48be-B2B4-4EB974FC3084}">
      <x14:pivotCacheDefinition pivotCacheId="3608460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09.569524421298" backgroundQuery="1" createdVersion="8" refreshedVersion="8" minRefreshableVersion="3" recordCount="0" supportSubquery="1" supportAdvancedDrill="1" xr:uid="{C22ABDA0-C58D-4FE2-A223-82E2E88ED3E0}">
  <cacheSource type="external" connectionId="2"/>
  <cacheFields count="2">
    <cacheField name="[Measures].[Count of Employee Number]" caption="Count of Employee Number" numFmtId="0" hierarchy="51" level="32767"/>
    <cacheField name="[Table1].[Gender].[Gender]" caption="Gender" numFmtId="0" hierarchy="8" level="1">
      <sharedItems count="2">
        <s v="Female"/>
        <s v="Male"/>
      </sharedItems>
    </cacheField>
  </cacheFields>
  <cacheHierarchies count="52">
    <cacheHierarchy uniqueName="[Table1].[Attrition]" caption="Attrition" attribute="1" defaultMemberUniqueName="[Table1].[Attrition].[All]" allUniqueName="[Table1].[Attrition].[All]" dimensionUniqueName="[Table1]" displayFolder="" count="2" memberValueDatatype="130" unbalanced="0"/>
    <cacheHierarchy uniqueName="[Table1].[Business Travel]" caption="Business Travel" attribute="1" defaultMemberUniqueName="[Table1].[Business Travel].[All]" allUniqueName="[Table1].[Business Travel].[All]" dimensionUniqueName="[Table1]" displayFolder="" count="2" memberValueDatatype="130" unbalanced="0"/>
    <cacheHierarchy uniqueName="[Table1].[CF_age band]" caption="CF_age band" attribute="1" defaultMemberUniqueName="[Table1].[CF_age band].[All]" allUniqueName="[Table1].[CF_age band].[All]" dimensionUniqueName="[Table1]" displayFolder="" count="2" memberValueDatatype="130" unbalanced="0"/>
    <cacheHierarchy uniqueName="[Table1].[CF_attrition label]" caption="CF_attrition label" attribute="1" defaultMemberUniqueName="[Table1].[CF_attrition label].[All]" allUniqueName="[Table1].[CF_attrition label].[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cacheHierarchy uniqueName="[Table1].[emp no]" caption="emp no" attribute="1" defaultMemberUniqueName="[Table1].[emp no].[All]" allUniqueName="[Table1].[emp no].[All]" dimensionUniqueName="[Table1]" displayFolder="" count="2" memberValueDatatype="130" unbalanced="0"/>
    <cacheHierarchy uniqueName="[Table1].[Employee Number]" caption="Employee Number" attribute="1" defaultMemberUniqueName="[Table1].[Employee Number].[All]" allUniqueName="[Table1].[Employee Number].[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Job Role]" caption="Job Role" attribute="1" defaultMemberUniqueName="[Table1].[Job Role].[All]" allUniqueName="[Table1].[Job Role].[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Over Time]" caption="Over Time" attribute="1" defaultMemberUniqueName="[Table1].[Over Time].[All]" allUniqueName="[Table1].[Over Time].[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Monthly Income]" caption="Monthly Income" attribute="1" defaultMemberUniqueName="[Table1].[Monthly Income].[All]" allUniqueName="[Table1].[Monthly Income].[All]" dimensionUniqueName="[Table1]" displayFolder="" count="2" memberValueDatatype="20" unbalanced="0"/>
    <cacheHierarchy uniqueName="[Table1].[Job Satisfaction]" caption="Job Satisfaction" attribute="1" defaultMemberUniqueName="[Table1].[Job Satisfaction].[All]" allUniqueName="[Table1].[Job Satisfaction].[All]" dimensionUniqueName="[Table1]" displayFolder="" count="2"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2" memberValueDatatype="20" unbalanced="0"/>
    <cacheHierarchy uniqueName="[Table1].[Years at Company]" caption="Years at Company" attribute="1" defaultMemberUniqueName="[Table1].[Years at Company].[All]" allUniqueName="[Table1].[Years at Company].[All]" dimensionUniqueName="[Table1]" displayFolder="" count="2" memberValueDatatype="20" unbalanced="0"/>
    <cacheHierarchy uniqueName="[Table1].[Total Working Years]" caption="Total Working Years" attribute="1" defaultMemberUniqueName="[Table1].[Total Working Years].[All]" allUniqueName="[Table1].[Total Working Years].[All]" dimensionUniqueName="[Table1]" displayFolder="" count="2" memberValueDatatype="20" unbalanced="0"/>
    <cacheHierarchy uniqueName="[Table1].[Training Times Last Year]" caption="Training Times Last Year" attribute="1" defaultMemberUniqueName="[Table1].[Training Times Last Year].[All]" allUniqueName="[Table1].[Training Times Last Year].[All]" dimensionUniqueName="[Table1]" displayFolder="" count="2" memberValueDatatype="20" unbalanced="0"/>
    <cacheHierarchy uniqueName="[Table1].[Work Life Balance]" caption="Work Life Balance" attribute="1" defaultMemberUniqueName="[Table1].[Work Life Balance].[All]" allUniqueName="[Table1].[Work Life Balance].[All]" dimensionUniqueName="[Table1]" displayFolder="" count="2" memberValueDatatype="20" unbalanced="0"/>
    <cacheHierarchy uniqueName="[Table1].[Performance Rating]" caption="Performance Rating" attribute="1" defaultMemberUniqueName="[Table1].[Performance Rating].[All]" allUniqueName="[Table1].[Performance Rating].[All]" dimensionUniqueName="[Table1]" displayFolder="" count="2" memberValueDatatype="20" unbalanced="0"/>
    <cacheHierarchy uniqueName="[Table1].[Distance From Home]" caption="Distance From Home" attribute="1" defaultMemberUniqueName="[Table1].[Distance From Home].[All]" allUniqueName="[Table1].[Distance From 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_2].[Attrition]" caption="Attrition" attribute="1" defaultMemberUniqueName="[Table1_2].[Attrition].[All]" allUniqueName="[Table1_2].[Attrition].[All]" dimensionUniqueName="[Table1_2]" displayFolder="" count="2" memberValueDatatype="130" unbalanced="0"/>
    <cacheHierarchy uniqueName="[Table1_2].[Business Travel]" caption="Business Travel" attribute="1" defaultMemberUniqueName="[Table1_2].[Business Travel].[All]" allUniqueName="[Table1_2].[Business Travel].[All]" dimensionUniqueName="[Table1_2]" displayFolder="" count="2" memberValueDatatype="130" unbalanced="0"/>
    <cacheHierarchy uniqueName="[Table1_2].[CF_age band]" caption="CF_age band" attribute="1" defaultMemberUniqueName="[Table1_2].[CF_age band].[All]" allUniqueName="[Table1_2].[CF_age band].[All]" dimensionUniqueName="[Table1_2]" displayFolder="" count="2" memberValueDatatype="130" unbalanced="0"/>
    <cacheHierarchy uniqueName="[Table1_2].[CF_attrition label]" caption="CF_attrition label" attribute="1" defaultMemberUniqueName="[Table1_2].[CF_attrition label].[All]" allUniqueName="[Table1_2].[CF_attrition label].[All]" dimensionUniqueName="[Table1_2]" displayFolder="" count="2" memberValueDatatype="130" unbalanced="0"/>
    <cacheHierarchy uniqueName="[Table1_2].[Department]" caption="Department" attribute="1" defaultMemberUniqueName="[Table1_2].[Department].[All]" allUniqueName="[Table1_2].[Department].[All]" dimensionUniqueName="[Table1_2]" displayFolder="" count="2" memberValueDatatype="130" unbalanced="0"/>
    <cacheHierarchy uniqueName="[Table1_2].[Education Field]" caption="Education Field" attribute="1" defaultMemberUniqueName="[Table1_2].[Education Field].[All]" allUniqueName="[Table1_2].[Education Field].[All]" dimensionUniqueName="[Table1_2]" displayFolder="" count="2" memberValueDatatype="130" unbalanced="0"/>
    <cacheHierarchy uniqueName="[Table1_2].[emp no]" caption="emp no" attribute="1" defaultMemberUniqueName="[Table1_2].[emp no].[All]" allUniqueName="[Table1_2].[emp no].[All]" dimensionUniqueName="[Table1_2]" displayFolder="" count="2" memberValueDatatype="130" unbalanced="0"/>
    <cacheHierarchy uniqueName="[Table1_2].[Employee Number]" caption="Employee Number" attribute="1" defaultMemberUniqueName="[Table1_2].[Employee Number].[All]" allUniqueName="[Table1_2].[Employee Number].[All]" dimensionUniqueName="[Table1_2]" displayFolder="" count="2"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Job Role]" caption="Job Role" attribute="1" defaultMemberUniqueName="[Table1_2].[Job Role].[All]" allUniqueName="[Table1_2].[Job Role].[All]" dimensionUniqueName="[Table1_2]" displayFolder="" count="2" memberValueDatatype="130" unbalanced="0"/>
    <cacheHierarchy uniqueName="[Table1_2].[Marital Status]" caption="Marital Status" attribute="1" defaultMemberUniqueName="[Table1_2].[Marital Status].[All]" allUniqueName="[Table1_2].[Marital Status].[All]" dimensionUniqueName="[Table1_2]" displayFolder="" count="2" memberValueDatatype="130" unbalanced="0"/>
    <cacheHierarchy uniqueName="[Table1_2].[Over Time]" caption="Over Time" attribute="1" defaultMemberUniqueName="[Table1_2].[Over Time].[All]" allUniqueName="[Table1_2].[Over Time].[All]" dimensionUniqueName="[Table1_2]" displayFolder="" count="2" memberValueDatatype="130" unbalanced="0"/>
    <cacheHierarchy uniqueName="[Table1_2].[Age]" caption="Age" attribute="1" defaultMemberUniqueName="[Table1_2].[Age].[All]" allUniqueName="[Table1_2].[Age].[All]" dimensionUniqueName="[Table1_2]" displayFolder="" count="2" memberValueDatatype="20" unbalanced="0"/>
    <cacheHierarchy uniqueName="[Table1_2].[Monthly Income]" caption="Monthly Income" attribute="1" defaultMemberUniqueName="[Table1_2].[Monthly Income].[All]" allUniqueName="[Table1_2].[Monthly Income].[All]" dimensionUniqueName="[Table1_2]" displayFolder="" count="2" memberValueDatatype="20" unbalanced="0"/>
    <cacheHierarchy uniqueName="[Table1_2].[Job Satisfaction]" caption="Job Satisfaction" attribute="1" defaultMemberUniqueName="[Table1_2].[Job Satisfaction].[All]" allUniqueName="[Table1_2].[Job Satisfaction].[All]" dimensionUniqueName="[Table1_2]" displayFolder="" count="2" memberValueDatatype="20" unbalanced="0"/>
    <cacheHierarchy uniqueName="[Table1_2].[Environment Satisfaction]" caption="Environment Satisfaction" attribute="1" defaultMemberUniqueName="[Table1_2].[Environment Satisfaction].[All]" allUniqueName="[Table1_2].[Environment Satisfaction].[All]" dimensionUniqueName="[Table1_2]" displayFolder="" count="2" memberValueDatatype="20" unbalanced="0"/>
    <cacheHierarchy uniqueName="[Table1_2].[Years at Company]" caption="Years at Company" attribute="1" defaultMemberUniqueName="[Table1_2].[Years at Company].[All]" allUniqueName="[Table1_2].[Years at Company].[All]" dimensionUniqueName="[Table1_2]" displayFolder="" count="2" memberValueDatatype="20" unbalanced="0"/>
    <cacheHierarchy uniqueName="[Table1_2].[Total Working Years]" caption="Total Working Years" attribute="1" defaultMemberUniqueName="[Table1_2].[Total Working Years].[All]" allUniqueName="[Table1_2].[Total Working Years].[All]" dimensionUniqueName="[Table1_2]" displayFolder="" count="2" memberValueDatatype="20" unbalanced="0"/>
    <cacheHierarchy uniqueName="[Table1_2].[Training Times Last Year]" caption="Training Times Last Year" attribute="1" defaultMemberUniqueName="[Table1_2].[Training Times Last Year].[All]" allUniqueName="[Table1_2].[Training Times Last Year].[All]" dimensionUniqueName="[Table1_2]" displayFolder="" count="2" memberValueDatatype="20" unbalanced="0"/>
    <cacheHierarchy uniqueName="[Table1_2].[Work Life Balance]" caption="Work Life Balance" attribute="1" defaultMemberUniqueName="[Table1_2].[Work Life Balance].[All]" allUniqueName="[Table1_2].[Work Life Balance].[All]" dimensionUniqueName="[Table1_2]" displayFolder="" count="2" memberValueDatatype="20" unbalanced="0"/>
    <cacheHierarchy uniqueName="[Table1_2].[Performance Rating]" caption="Performance Rating" attribute="1" defaultMemberUniqueName="[Table1_2].[Performance Rating].[All]" allUniqueName="[Table1_2].[Performance Rating].[All]" dimensionUniqueName="[Table1_2]" displayFolder="" count="2" memberValueDatatype="20" unbalanced="0"/>
    <cacheHierarchy uniqueName="[Table1_2].[Distance From Home]" caption="Distance From Home" attribute="1" defaultMemberUniqueName="[Table1_2].[Distance From Home].[All]" allUniqueName="[Table1_2].[Distance From Home].[All]" dimensionUniqueName="[Table1_2]" displayFolder="" count="2" memberValueDatatype="20" unbalanced="0"/>
    <cacheHierarchy uniqueName="[Table1_2].[Education]" caption="Education" attribute="1" defaultMemberUniqueName="[Table1_2].[Education].[All]" allUniqueName="[Table1_2].[Education].[All]" dimensionUniqueName="[Table1_2]" displayFolder="" count="2" memberValueDatatype="20" unbalanced="0"/>
    <cacheHierarchy uniqueName="[Table1_2].[Attrition Count]" caption="Attrition Count" attribute="1" defaultMemberUniqueName="[Table1_2].[Attrition Count].[All]" allUniqueName="[Table1_2].[Attrition Count].[All]" dimensionUniqueName="[Table1_2]" displayFolder="" count="2" memberValueDatatype="20" unbalanced="0"/>
    <cacheHierarchy uniqueName="[Measures].[__XL_Count Table1_2]" caption="__XL_Count Table1_2" measure="1" displayFolder="" measureGroup="Table1_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1_2" uniqueName="[Table1_2]" caption="Table1_2"/>
  </dimensions>
  <measureGroups count="2">
    <measureGroup name="Table1" caption="Table1"/>
    <measureGroup name="Table1_2" caption="Table1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07.498455324072" backgroundQuery="1" createdVersion="3" refreshedVersion="8" minRefreshableVersion="3" recordCount="0" supportSubquery="1" supportAdvancedDrill="1" xr:uid="{2B40242C-9B54-46F2-8BFF-1BCF6300ACFD}">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 Travel]" caption="Business Travel" attribute="1" defaultMemberUniqueName="[Table1_2].[Business Travel].[All]" allUniqueName="[Table1_2].[Business Travel].[All]" dimensionUniqueName="[Table1_2]" displayFolder="" count="0" memberValueDatatype="130" unbalanced="0"/>
    <cacheHierarchy uniqueName="[Table1_2].[CF_age band]" caption="CF_age band" attribute="1" defaultMemberUniqueName="[Table1_2].[CF_age band].[All]" allUniqueName="[Table1_2].[CF_age band].[All]" dimensionUniqueName="[Table1_2]" displayFolder="" count="0" memberValueDatatype="130" unbalanced="0"/>
    <cacheHierarchy uniqueName="[Table1_2].[CF_attrition label]" caption="CF_attrition label" attribute="1" defaultMemberUniqueName="[Table1_2].[CF_attrition label].[All]" allUniqueName="[Table1_2].[CF_attrition label].[All]" dimensionUniqueName="[Table1_2]" displayFolder="" count="0" memberValueDatatype="130" unbalanced="0"/>
    <cacheHierarchy uniqueName="[Table1_2].[Department]" caption="Department" attribute="1" defaultMemberUniqueName="[Table1_2].[Department].[All]" allUniqueName="[Table1_2].[Department].[All]" dimensionUniqueName="[Table1_2]" displayFolder="" count="0" memberValueDatatype="130" unbalanced="0"/>
    <cacheHierarchy uniqueName="[Table1_2].[Education Field]" caption="Education Field" attribute="1" defaultMemberUniqueName="[Table1_2].[Education Field].[All]" allUniqueName="[Table1_2].[Education Field].[All]" dimensionUniqueName="[Table1_2]" displayFolder="" count="0" memberValueDatatype="130" unbalanced="0"/>
    <cacheHierarchy uniqueName="[Table1_2].[emp no]" caption="emp no" attribute="1" defaultMemberUniqueName="[Table1_2].[emp no].[All]" allUniqueName="[Table1_2].[emp no].[All]" dimensionUniqueName="[Table1_2]" displayFolder="" count="0" memberValueDatatype="130" unbalanced="0"/>
    <cacheHierarchy uniqueName="[Table1_2].[Employee Number]" caption="Employee Number" attribute="1" defaultMemberUniqueName="[Table1_2].[Employee Number].[All]" allUniqueName="[Table1_2].[Employee Number].[All]" dimensionUniqueName="[Table1_2]" displayFolder="" count="0" memberValueDatatype="20" unbalanced="0"/>
    <cacheHierarchy uniqueName="[Table1_2].[Gender]" caption="Gender" attribute="1" defaultMemberUniqueName="[Table1_2].[Gender].[All]" allUniqueName="[Table1_2].[Gender].[All]" dimensionUniqueName="[Table1_2]" displayFolder="" count="0" memberValueDatatype="130" unbalanced="0"/>
    <cacheHierarchy uniqueName="[Table1_2].[Job Role]" caption="Job Role" attribute="1" defaultMemberUniqueName="[Table1_2].[Job Role].[All]" allUniqueName="[Table1_2].[Job Role].[All]" dimensionUniqueName="[Table1_2]" displayFolder="" count="0" memberValueDatatype="130" unbalanced="0"/>
    <cacheHierarchy uniqueName="[Table1_2].[Marital Status]" caption="Marital Status" attribute="1" defaultMemberUniqueName="[Table1_2].[Marital Status].[All]" allUniqueName="[Table1_2].[Marital Status].[All]" dimensionUniqueName="[Table1_2]" displayFolder="" count="0" memberValueDatatype="130" unbalanced="0"/>
    <cacheHierarchy uniqueName="[Table1_2].[Over Time]" caption="Over Time" attribute="1" defaultMemberUniqueName="[Table1_2].[Over Time].[All]" allUniqueName="[Table1_2].[Over Time].[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Monthly Income]" caption="Monthly Income" attribute="1" defaultMemberUniqueName="[Table1_2].[Monthly Income].[All]" allUniqueName="[Table1_2].[Monthly Income].[All]" dimensionUniqueName="[Table1_2]" displayFolder="" count="0" memberValueDatatype="20" unbalanced="0"/>
    <cacheHierarchy uniqueName="[Table1_2].[Job Satisfaction]" caption="Job Satisfaction" attribute="1" defaultMemberUniqueName="[Table1_2].[Job Satisfaction].[All]" allUniqueName="[Table1_2].[Job Satisfaction].[All]" dimensionUniqueName="[Table1_2]" displayFolder="" count="0" memberValueDatatype="20" unbalanced="0"/>
    <cacheHierarchy uniqueName="[Table1_2].[Environment Satisfaction]" caption="Environment Satisfaction" attribute="1" defaultMemberUniqueName="[Table1_2].[Environment Satisfaction].[All]" allUniqueName="[Table1_2].[Environment Satisfaction].[All]" dimensionUniqueName="[Table1_2]" displayFolder="" count="0" memberValueDatatype="20" unbalanced="0"/>
    <cacheHierarchy uniqueName="[Table1_2].[Years at Company]" caption="Years at Company" attribute="1" defaultMemberUniqueName="[Table1_2].[Years at Company].[All]" allUniqueName="[Table1_2].[Years at Company].[All]" dimensionUniqueName="[Table1_2]" displayFolder="" count="0" memberValueDatatype="20" unbalanced="0"/>
    <cacheHierarchy uniqueName="[Table1_2].[Total Working Years]" caption="Total Working Years" attribute="1" defaultMemberUniqueName="[Table1_2].[Total Working Years].[All]" allUniqueName="[Table1_2].[Total Working Years].[All]" dimensionUniqueName="[Table1_2]" displayFolder="" count="0" memberValueDatatype="20" unbalanced="0"/>
    <cacheHierarchy uniqueName="[Table1_2].[Training Times Last Year]" caption="Training Times Last Year" attribute="1" defaultMemberUniqueName="[Table1_2].[Training Times Last Year].[All]" allUniqueName="[Table1_2].[Training Times Last Year].[All]" dimensionUniqueName="[Table1_2]" displayFolder="" count="0" memberValueDatatype="20" unbalanced="0"/>
    <cacheHierarchy uniqueName="[Table1_2].[Work Life Balance]" caption="Work Life Balance" attribute="1" defaultMemberUniqueName="[Table1_2].[Work Life Balance].[All]" allUniqueName="[Table1_2].[Work Life Balance].[All]" dimensionUniqueName="[Table1_2]" displayFolder="" count="0" memberValueDatatype="20" unbalanced="0"/>
    <cacheHierarchy uniqueName="[Table1_2].[Performance Rating]" caption="Performance Rating" attribute="1" defaultMemberUniqueName="[Table1_2].[Performance Rating].[All]" allUniqueName="[Table1_2].[Performance Rating].[All]" dimensionUniqueName="[Table1_2]" displayFolder="" count="0" memberValueDatatype="20" unbalanced="0"/>
    <cacheHierarchy uniqueName="[Table1_2].[Distance From Home]" caption="Distance From Home" attribute="1" defaultMemberUniqueName="[Table1_2].[Distance From Home].[All]" allUniqueName="[Table1_2].[Distance From 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Attrition Count]" caption="Attrition Count" attribute="1" defaultMemberUniqueName="[Table1_2].[Attrition Count].[All]" allUniqueName="[Table1_2].[Attrition Count].[All]" dimensionUniqueName="[Table1_2]" displayFolder="" count="0" memberValueDatatype="20" unbalanced="0"/>
    <cacheHierarchy uniqueName="[Measures].[__XL_Count Table1_2]" caption="__XL_Count Table1_2" measure="1" displayFolder="" measureGroup="Table1_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Number]" caption="Sum of Employee Number" measure="1" displayFolder="" measureGroup="Table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08157022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ravel_Rarely"/>
    <x v="0"/>
    <s v="Current Employees"/>
    <x v="0"/>
    <x v="0"/>
    <s v="STAFF-1"/>
    <n v="1"/>
    <x v="0"/>
    <x v="0"/>
    <x v="0"/>
    <s v="Yes"/>
    <n v="58"/>
    <n v="128604"/>
    <n v="1"/>
    <n v="1"/>
    <n v="5"/>
    <n v="13"/>
    <n v="1"/>
    <n v="1"/>
    <n v="3"/>
    <n v="23"/>
    <x v="0"/>
    <n v="146"/>
  </r>
  <r>
    <x v="0"/>
    <s v="Travel_Rarely"/>
    <x v="1"/>
    <s v="Current Employees"/>
    <x v="0"/>
    <x v="0"/>
    <s v="STAFF-2"/>
    <n v="2"/>
    <x v="1"/>
    <x v="1"/>
    <x v="1"/>
    <s v="Yes"/>
    <n v="34"/>
    <n v="106236"/>
    <n v="1"/>
    <n v="1"/>
    <n v="24"/>
    <n v="6"/>
    <n v="2"/>
    <n v="3"/>
    <n v="4"/>
    <n v="26"/>
    <x v="1"/>
    <m/>
  </r>
  <r>
    <x v="0"/>
    <s v="Travel_Rarely"/>
    <x v="2"/>
    <s v="Current Employees"/>
    <x v="1"/>
    <x v="1"/>
    <s v="STAFF-3"/>
    <n v="3"/>
    <x v="1"/>
    <x v="2"/>
    <x v="1"/>
    <s v="Yes"/>
    <n v="25"/>
    <n v="30012"/>
    <n v="2"/>
    <n v="3"/>
    <n v="5"/>
    <n v="14"/>
    <n v="6"/>
    <n v="1"/>
    <n v="4"/>
    <n v="9"/>
    <x v="2"/>
    <m/>
  </r>
  <r>
    <x v="0"/>
    <s v="Travel_Frequently"/>
    <x v="1"/>
    <s v="Current Employees"/>
    <x v="0"/>
    <x v="0"/>
    <s v="STAFF-4"/>
    <n v="4"/>
    <x v="1"/>
    <x v="0"/>
    <x v="0"/>
    <s v="Yes"/>
    <n v="55"/>
    <n v="82175"/>
    <n v="2"/>
    <n v="4"/>
    <n v="24"/>
    <n v="17"/>
    <n v="5"/>
    <n v="2"/>
    <n v="4"/>
    <n v="27"/>
    <x v="1"/>
    <m/>
  </r>
  <r>
    <x v="0"/>
    <s v="Travel_Frequently"/>
    <x v="0"/>
    <s v="Current Employees"/>
    <x v="0"/>
    <x v="2"/>
    <s v="STAFF-5"/>
    <n v="5"/>
    <x v="0"/>
    <x v="3"/>
    <x v="0"/>
    <s v="No"/>
    <n v="34"/>
    <n v="148870"/>
    <n v="4"/>
    <n v="4"/>
    <n v="9"/>
    <n v="16"/>
    <n v="1"/>
    <n v="2"/>
    <n v="4"/>
    <n v="24"/>
    <x v="0"/>
    <m/>
  </r>
  <r>
    <x v="0"/>
    <s v="Travel_Rarely"/>
    <x v="2"/>
    <s v="Current Employees"/>
    <x v="0"/>
    <x v="0"/>
    <s v="STAFF-6"/>
    <n v="6"/>
    <x v="1"/>
    <x v="0"/>
    <x v="2"/>
    <s v="Yes"/>
    <n v="30"/>
    <n v="59938"/>
    <n v="4"/>
    <n v="1"/>
    <n v="24"/>
    <n v="24"/>
    <n v="4"/>
    <n v="4"/>
    <n v="4"/>
    <n v="18"/>
    <x v="1"/>
    <m/>
  </r>
  <r>
    <x v="0"/>
    <s v="Travel_Frequently"/>
    <x v="1"/>
    <s v="Current Employees"/>
    <x v="2"/>
    <x v="3"/>
    <s v="STAFF-7"/>
    <n v="7"/>
    <x v="1"/>
    <x v="0"/>
    <x v="1"/>
    <s v="No"/>
    <n v="31"/>
    <n v="136940"/>
    <n v="1"/>
    <n v="3"/>
    <n v="32"/>
    <n v="11"/>
    <n v="4"/>
    <n v="1"/>
    <n v="4"/>
    <n v="27"/>
    <x v="0"/>
    <m/>
  </r>
  <r>
    <x v="0"/>
    <s v="Non-Travel"/>
    <x v="1"/>
    <s v="Current Employees"/>
    <x v="3"/>
    <x v="1"/>
    <s v="STAFF-8"/>
    <n v="8"/>
    <x v="0"/>
    <x v="2"/>
    <x v="1"/>
    <s v="No"/>
    <n v="22"/>
    <n v="47325"/>
    <n v="3"/>
    <n v="3"/>
    <n v="15"/>
    <n v="3"/>
    <n v="1"/>
    <n v="1"/>
    <n v="3"/>
    <n v="24"/>
    <x v="2"/>
    <m/>
  </r>
  <r>
    <x v="0"/>
    <s v="Travel_Rarely"/>
    <x v="3"/>
    <s v="Current Employees"/>
    <x v="2"/>
    <x v="0"/>
    <s v="STAFF-9"/>
    <n v="9"/>
    <x v="1"/>
    <x v="4"/>
    <x v="2"/>
    <s v="No"/>
    <n v="54"/>
    <n v="177014"/>
    <n v="4"/>
    <n v="2"/>
    <n v="34"/>
    <n v="12"/>
    <n v="5"/>
    <n v="3"/>
    <n v="4"/>
    <n v="22"/>
    <x v="3"/>
    <m/>
  </r>
  <r>
    <x v="0"/>
    <s v="Travel_Rarely"/>
    <x v="2"/>
    <s v="Current Employees"/>
    <x v="4"/>
    <x v="0"/>
    <s v="STAFF-10"/>
    <n v="10"/>
    <x v="0"/>
    <x v="1"/>
    <x v="2"/>
    <s v="Yes"/>
    <n v="58"/>
    <n v="75728"/>
    <n v="1"/>
    <n v="1"/>
    <n v="40"/>
    <n v="3"/>
    <n v="1"/>
    <n v="1"/>
    <n v="3"/>
    <n v="28"/>
    <x v="3"/>
    <m/>
  </r>
  <r>
    <x v="0"/>
    <s v="Travel_Frequently"/>
    <x v="1"/>
    <s v="Current Employees"/>
    <x v="5"/>
    <x v="0"/>
    <s v="STAFF-11"/>
    <n v="11"/>
    <x v="0"/>
    <x v="2"/>
    <x v="0"/>
    <s v="No"/>
    <n v="36"/>
    <n v="141987"/>
    <n v="4"/>
    <n v="2"/>
    <n v="6"/>
    <n v="6"/>
    <n v="5"/>
    <n v="4"/>
    <n v="4"/>
    <n v="14"/>
    <x v="2"/>
    <m/>
  </r>
  <r>
    <x v="0"/>
    <s v="Non-Travel"/>
    <x v="2"/>
    <s v="Current Employees"/>
    <x v="5"/>
    <x v="3"/>
    <s v="STAFF-12"/>
    <n v="12"/>
    <x v="0"/>
    <x v="5"/>
    <x v="1"/>
    <s v="No"/>
    <n v="27"/>
    <n v="83183"/>
    <n v="2"/>
    <n v="2"/>
    <n v="34"/>
    <n v="28"/>
    <n v="1"/>
    <n v="4"/>
    <n v="3"/>
    <n v="9"/>
    <x v="2"/>
    <m/>
  </r>
  <r>
    <x v="0"/>
    <s v="Non-Travel"/>
    <x v="4"/>
    <s v="Current Employees"/>
    <x v="1"/>
    <x v="4"/>
    <s v="STAFF-13"/>
    <n v="13"/>
    <x v="0"/>
    <x v="4"/>
    <x v="2"/>
    <s v="Yes"/>
    <n v="36"/>
    <n v="61597"/>
    <n v="4"/>
    <n v="4"/>
    <n v="30"/>
    <n v="13"/>
    <n v="6"/>
    <n v="4"/>
    <n v="3"/>
    <n v="6"/>
    <x v="2"/>
    <m/>
  </r>
  <r>
    <x v="0"/>
    <s v="Travel_Frequently"/>
    <x v="1"/>
    <s v="Current Employees"/>
    <x v="1"/>
    <x v="5"/>
    <s v="STAFF-14"/>
    <n v="14"/>
    <x v="1"/>
    <x v="6"/>
    <x v="2"/>
    <s v="No"/>
    <n v="34"/>
    <n v="33331"/>
    <n v="1"/>
    <n v="3"/>
    <n v="3"/>
    <n v="3"/>
    <n v="4"/>
    <n v="4"/>
    <n v="3"/>
    <n v="2"/>
    <x v="0"/>
    <m/>
  </r>
  <r>
    <x v="0"/>
    <s v="Travel_Rarely"/>
    <x v="1"/>
    <s v="Current Employees"/>
    <x v="2"/>
    <x v="3"/>
    <s v="STAFF-15"/>
    <n v="15"/>
    <x v="0"/>
    <x v="7"/>
    <x v="2"/>
    <s v="Yes"/>
    <n v="58"/>
    <n v="173849"/>
    <n v="1"/>
    <n v="1"/>
    <n v="26"/>
    <n v="42"/>
    <n v="4"/>
    <n v="3"/>
    <n v="4"/>
    <n v="7"/>
    <x v="3"/>
    <m/>
  </r>
  <r>
    <x v="0"/>
    <s v="Non-Travel"/>
    <x v="1"/>
    <s v="Current Employees"/>
    <x v="5"/>
    <x v="2"/>
    <s v="STAFF-16"/>
    <n v="16"/>
    <x v="1"/>
    <x v="1"/>
    <x v="2"/>
    <s v="Yes"/>
    <n v="50"/>
    <n v="165585"/>
    <n v="1"/>
    <n v="1"/>
    <n v="34"/>
    <n v="13"/>
    <n v="4"/>
    <n v="3"/>
    <n v="3"/>
    <n v="30"/>
    <x v="3"/>
    <m/>
  </r>
  <r>
    <x v="1"/>
    <s v="Travel_Frequently"/>
    <x v="4"/>
    <s v="Ex-Employees"/>
    <x v="0"/>
    <x v="0"/>
    <s v="STAFF-17"/>
    <n v="17"/>
    <x v="1"/>
    <x v="4"/>
    <x v="0"/>
    <s v="No"/>
    <n v="60"/>
    <n v="156658"/>
    <n v="1"/>
    <n v="3"/>
    <n v="6"/>
    <n v="8"/>
    <n v="2"/>
    <n v="1"/>
    <n v="3"/>
    <n v="24"/>
    <x v="0"/>
    <m/>
  </r>
  <r>
    <x v="0"/>
    <s v="Non-Travel"/>
    <x v="1"/>
    <s v="Current Employees"/>
    <x v="3"/>
    <x v="2"/>
    <s v="STAFF-18"/>
    <n v="18"/>
    <x v="0"/>
    <x v="8"/>
    <x v="0"/>
    <s v="No"/>
    <n v="37"/>
    <n v="31316"/>
    <n v="1"/>
    <n v="4"/>
    <n v="17"/>
    <n v="2"/>
    <n v="0"/>
    <n v="3"/>
    <n v="3"/>
    <n v="21"/>
    <x v="3"/>
    <m/>
  </r>
  <r>
    <x v="0"/>
    <s v="Travel_Frequently"/>
    <x v="1"/>
    <s v="Current Employees"/>
    <x v="5"/>
    <x v="1"/>
    <s v="STAFF-19"/>
    <n v="19"/>
    <x v="0"/>
    <x v="0"/>
    <x v="2"/>
    <s v="Yes"/>
    <n v="55"/>
    <n v="27444"/>
    <n v="3"/>
    <n v="2"/>
    <n v="27"/>
    <n v="8"/>
    <n v="0"/>
    <n v="3"/>
    <n v="4"/>
    <n v="29"/>
    <x v="1"/>
    <m/>
  </r>
  <r>
    <x v="1"/>
    <s v="Non-Travel"/>
    <x v="1"/>
    <s v="Ex-Employees"/>
    <x v="3"/>
    <x v="4"/>
    <s v="STAFF-20"/>
    <n v="20"/>
    <x v="1"/>
    <x v="4"/>
    <x v="1"/>
    <s v="Yes"/>
    <n v="36"/>
    <n v="60598"/>
    <n v="2"/>
    <n v="4"/>
    <n v="1"/>
    <n v="11"/>
    <n v="5"/>
    <n v="3"/>
    <n v="4"/>
    <n v="26"/>
    <x v="4"/>
    <m/>
  </r>
  <r>
    <x v="0"/>
    <s v="Travel_Frequently"/>
    <x v="4"/>
    <s v="Current Employees"/>
    <x v="4"/>
    <x v="4"/>
    <s v="STAFF-21"/>
    <n v="21"/>
    <x v="1"/>
    <x v="3"/>
    <x v="2"/>
    <s v="No"/>
    <n v="43"/>
    <n v="98003"/>
    <n v="2"/>
    <n v="2"/>
    <n v="1"/>
    <n v="42"/>
    <n v="1"/>
    <n v="4"/>
    <n v="4"/>
    <n v="9"/>
    <x v="1"/>
    <m/>
  </r>
  <r>
    <x v="1"/>
    <s v="Non-Travel"/>
    <x v="1"/>
    <s v="Ex-Employees"/>
    <x v="5"/>
    <x v="5"/>
    <s v="STAFF-22"/>
    <n v="22"/>
    <x v="1"/>
    <x v="5"/>
    <x v="2"/>
    <s v="No"/>
    <n v="32"/>
    <n v="170198"/>
    <n v="3"/>
    <n v="1"/>
    <n v="6"/>
    <n v="38"/>
    <n v="3"/>
    <n v="3"/>
    <n v="4"/>
    <n v="14"/>
    <x v="0"/>
    <m/>
  </r>
  <r>
    <x v="1"/>
    <s v="Travel_Rarely"/>
    <x v="1"/>
    <s v="Ex-Employees"/>
    <x v="2"/>
    <x v="2"/>
    <s v="STAFF-23"/>
    <n v="23"/>
    <x v="0"/>
    <x v="7"/>
    <x v="2"/>
    <s v="Yes"/>
    <n v="44"/>
    <n v="131062"/>
    <n v="1"/>
    <n v="3"/>
    <n v="39"/>
    <n v="20"/>
    <n v="5"/>
    <n v="1"/>
    <n v="4"/>
    <n v="17"/>
    <x v="3"/>
    <m/>
  </r>
  <r>
    <x v="0"/>
    <s v="Travel_Frequently"/>
    <x v="1"/>
    <s v="Current Employees"/>
    <x v="5"/>
    <x v="1"/>
    <s v="STAFF-24"/>
    <n v="24"/>
    <x v="0"/>
    <x v="3"/>
    <x v="1"/>
    <s v="No"/>
    <n v="32"/>
    <n v="179353"/>
    <n v="3"/>
    <n v="4"/>
    <n v="35"/>
    <n v="0"/>
    <n v="2"/>
    <n v="3"/>
    <n v="3"/>
    <n v="14"/>
    <x v="0"/>
    <m/>
  </r>
  <r>
    <x v="0"/>
    <s v="Travel_Frequently"/>
    <x v="1"/>
    <s v="Current Employees"/>
    <x v="1"/>
    <x v="3"/>
    <s v="STAFF-25"/>
    <n v="25"/>
    <x v="0"/>
    <x v="4"/>
    <x v="1"/>
    <s v="Yes"/>
    <n v="26"/>
    <n v="92392"/>
    <n v="3"/>
    <n v="1"/>
    <n v="15"/>
    <n v="19"/>
    <n v="1"/>
    <n v="2"/>
    <n v="3"/>
    <n v="1"/>
    <x v="1"/>
    <m/>
  </r>
  <r>
    <x v="0"/>
    <s v="Travel_Frequently"/>
    <x v="2"/>
    <s v="Current Employees"/>
    <x v="4"/>
    <x v="5"/>
    <s v="STAFF-26"/>
    <n v="26"/>
    <x v="0"/>
    <x v="7"/>
    <x v="1"/>
    <s v="No"/>
    <n v="36"/>
    <n v="56684"/>
    <n v="1"/>
    <n v="1"/>
    <n v="27"/>
    <n v="14"/>
    <n v="1"/>
    <n v="4"/>
    <n v="3"/>
    <n v="18"/>
    <x v="4"/>
    <m/>
  </r>
  <r>
    <x v="1"/>
    <s v="Travel_Frequently"/>
    <x v="1"/>
    <s v="Ex-Employees"/>
    <x v="3"/>
    <x v="3"/>
    <s v="STAFF-27"/>
    <n v="27"/>
    <x v="1"/>
    <x v="9"/>
    <x v="0"/>
    <s v="No"/>
    <n v="56"/>
    <n v="134893"/>
    <n v="2"/>
    <n v="4"/>
    <n v="28"/>
    <n v="16"/>
    <n v="6"/>
    <n v="2"/>
    <n v="4"/>
    <n v="25"/>
    <x v="0"/>
    <m/>
  </r>
  <r>
    <x v="0"/>
    <s v="Travel_Rarely"/>
    <x v="1"/>
    <s v="Current Employees"/>
    <x v="1"/>
    <x v="3"/>
    <s v="STAFF-28"/>
    <n v="28"/>
    <x v="1"/>
    <x v="3"/>
    <x v="1"/>
    <s v="No"/>
    <n v="41"/>
    <n v="159597"/>
    <n v="1"/>
    <n v="2"/>
    <n v="9"/>
    <n v="14"/>
    <n v="3"/>
    <n v="2"/>
    <n v="3"/>
    <n v="3"/>
    <x v="2"/>
    <m/>
  </r>
  <r>
    <x v="0"/>
    <s v="Travel_Rarely"/>
    <x v="2"/>
    <s v="Current Employees"/>
    <x v="1"/>
    <x v="0"/>
    <s v="STAFF-29"/>
    <n v="29"/>
    <x v="1"/>
    <x v="7"/>
    <x v="0"/>
    <s v="Yes"/>
    <n v="57"/>
    <n v="117714"/>
    <n v="4"/>
    <n v="1"/>
    <n v="22"/>
    <n v="19"/>
    <n v="6"/>
    <n v="4"/>
    <n v="4"/>
    <n v="18"/>
    <x v="0"/>
    <m/>
  </r>
  <r>
    <x v="0"/>
    <s v="Travel_Rarely"/>
    <x v="4"/>
    <s v="Current Employees"/>
    <x v="1"/>
    <x v="2"/>
    <s v="STAFF-30"/>
    <n v="30"/>
    <x v="1"/>
    <x v="9"/>
    <x v="2"/>
    <s v="No"/>
    <n v="42"/>
    <n v="123989"/>
    <n v="2"/>
    <n v="4"/>
    <n v="8"/>
    <n v="39"/>
    <n v="4"/>
    <n v="1"/>
    <n v="4"/>
    <n v="19"/>
    <x v="0"/>
    <m/>
  </r>
  <r>
    <x v="0"/>
    <s v="Travel_Rarely"/>
    <x v="0"/>
    <s v="Current Employees"/>
    <x v="1"/>
    <x v="5"/>
    <s v="STAFF-31"/>
    <n v="31"/>
    <x v="0"/>
    <x v="5"/>
    <x v="1"/>
    <s v="No"/>
    <n v="41"/>
    <n v="73485"/>
    <n v="4"/>
    <n v="3"/>
    <n v="21"/>
    <n v="24"/>
    <n v="2"/>
    <n v="4"/>
    <n v="4"/>
    <n v="27"/>
    <x v="1"/>
    <m/>
  </r>
  <r>
    <x v="0"/>
    <s v="Travel_Frequently"/>
    <x v="2"/>
    <s v="Current Employees"/>
    <x v="4"/>
    <x v="0"/>
    <s v="STAFF-32"/>
    <n v="32"/>
    <x v="0"/>
    <x v="5"/>
    <x v="2"/>
    <s v="Yes"/>
    <n v="33"/>
    <n v="23342"/>
    <n v="2"/>
    <n v="2"/>
    <n v="8"/>
    <n v="30"/>
    <n v="5"/>
    <n v="1"/>
    <n v="3"/>
    <n v="15"/>
    <x v="3"/>
    <m/>
  </r>
  <r>
    <x v="0"/>
    <s v="Non-Travel"/>
    <x v="1"/>
    <s v="Current Employees"/>
    <x v="2"/>
    <x v="3"/>
    <s v="STAFF-33"/>
    <n v="33"/>
    <x v="0"/>
    <x v="6"/>
    <x v="1"/>
    <s v="Yes"/>
    <n v="58"/>
    <n v="24731"/>
    <n v="3"/>
    <n v="4"/>
    <n v="25"/>
    <n v="12"/>
    <n v="0"/>
    <n v="2"/>
    <n v="3"/>
    <n v="23"/>
    <x v="3"/>
    <m/>
  </r>
  <r>
    <x v="1"/>
    <s v="Non-Travel"/>
    <x v="2"/>
    <s v="Ex-Employees"/>
    <x v="4"/>
    <x v="4"/>
    <s v="STAFF-34"/>
    <n v="34"/>
    <x v="1"/>
    <x v="4"/>
    <x v="1"/>
    <s v="No"/>
    <n v="25"/>
    <n v="150634"/>
    <n v="3"/>
    <n v="1"/>
    <n v="26"/>
    <n v="31"/>
    <n v="0"/>
    <n v="4"/>
    <n v="4"/>
    <n v="21"/>
    <x v="2"/>
    <m/>
  </r>
  <r>
    <x v="0"/>
    <s v="Non-Travel"/>
    <x v="1"/>
    <s v="Current Employees"/>
    <x v="5"/>
    <x v="3"/>
    <s v="STAFF-35"/>
    <n v="35"/>
    <x v="1"/>
    <x v="2"/>
    <x v="0"/>
    <s v="No"/>
    <n v="50"/>
    <n v="132183"/>
    <n v="3"/>
    <n v="3"/>
    <n v="15"/>
    <n v="5"/>
    <n v="2"/>
    <n v="4"/>
    <n v="3"/>
    <n v="25"/>
    <x v="2"/>
    <m/>
  </r>
  <r>
    <x v="0"/>
    <s v="Travel_Rarely"/>
    <x v="2"/>
    <s v="Current Employees"/>
    <x v="0"/>
    <x v="5"/>
    <s v="STAFF-36"/>
    <n v="36"/>
    <x v="1"/>
    <x v="6"/>
    <x v="1"/>
    <s v="Yes"/>
    <n v="43"/>
    <n v="85725"/>
    <n v="3"/>
    <n v="3"/>
    <n v="38"/>
    <n v="17"/>
    <n v="4"/>
    <n v="1"/>
    <n v="3"/>
    <n v="3"/>
    <x v="4"/>
    <m/>
  </r>
  <r>
    <x v="0"/>
    <s v="Non-Travel"/>
    <x v="2"/>
    <s v="Current Employees"/>
    <x v="3"/>
    <x v="5"/>
    <s v="STAFF-37"/>
    <n v="37"/>
    <x v="1"/>
    <x v="9"/>
    <x v="2"/>
    <s v="Yes"/>
    <n v="39"/>
    <n v="76090"/>
    <n v="4"/>
    <n v="2"/>
    <n v="19"/>
    <n v="42"/>
    <n v="4"/>
    <n v="3"/>
    <n v="4"/>
    <n v="18"/>
    <x v="0"/>
    <m/>
  </r>
  <r>
    <x v="0"/>
    <s v="Travel_Frequently"/>
    <x v="3"/>
    <s v="Current Employees"/>
    <x v="2"/>
    <x v="2"/>
    <s v="STAFF-38"/>
    <n v="38"/>
    <x v="1"/>
    <x v="8"/>
    <x v="1"/>
    <s v="No"/>
    <n v="35"/>
    <n v="49629"/>
    <n v="2"/>
    <n v="3"/>
    <n v="7"/>
    <n v="34"/>
    <n v="6"/>
    <n v="2"/>
    <n v="3"/>
    <n v="7"/>
    <x v="2"/>
    <m/>
  </r>
  <r>
    <x v="0"/>
    <s v="Non-Travel"/>
    <x v="2"/>
    <s v="Current Employees"/>
    <x v="2"/>
    <x v="2"/>
    <s v="STAFF-39"/>
    <n v="39"/>
    <x v="0"/>
    <x v="3"/>
    <x v="1"/>
    <s v="Yes"/>
    <n v="44"/>
    <n v="65039"/>
    <n v="3"/>
    <n v="1"/>
    <n v="34"/>
    <n v="8"/>
    <n v="2"/>
    <n v="1"/>
    <n v="3"/>
    <n v="18"/>
    <x v="3"/>
    <m/>
  </r>
  <r>
    <x v="0"/>
    <s v="Travel_Rarely"/>
    <x v="1"/>
    <s v="Current Employees"/>
    <x v="1"/>
    <x v="4"/>
    <s v="STAFF-40"/>
    <n v="40"/>
    <x v="1"/>
    <x v="9"/>
    <x v="1"/>
    <s v="No"/>
    <n v="42"/>
    <n v="66329"/>
    <n v="1"/>
    <n v="3"/>
    <n v="30"/>
    <n v="7"/>
    <n v="6"/>
    <n v="1"/>
    <n v="4"/>
    <n v="16"/>
    <x v="1"/>
    <m/>
  </r>
  <r>
    <x v="0"/>
    <s v="Travel_Rarely"/>
    <x v="2"/>
    <s v="Current Employees"/>
    <x v="3"/>
    <x v="1"/>
    <s v="STAFF-41"/>
    <n v="41"/>
    <x v="1"/>
    <x v="0"/>
    <x v="2"/>
    <s v="Yes"/>
    <n v="56"/>
    <n v="127097"/>
    <n v="2"/>
    <n v="4"/>
    <n v="28"/>
    <n v="28"/>
    <n v="2"/>
    <n v="4"/>
    <n v="4"/>
    <n v="19"/>
    <x v="0"/>
    <m/>
  </r>
  <r>
    <x v="0"/>
    <s v="Travel_Rarely"/>
    <x v="3"/>
    <s v="Current Employees"/>
    <x v="4"/>
    <x v="3"/>
    <s v="STAFF-42"/>
    <n v="42"/>
    <x v="0"/>
    <x v="8"/>
    <x v="0"/>
    <s v="Yes"/>
    <n v="31"/>
    <n v="80879"/>
    <n v="2"/>
    <n v="1"/>
    <n v="10"/>
    <n v="0"/>
    <n v="3"/>
    <n v="4"/>
    <n v="4"/>
    <n v="10"/>
    <x v="1"/>
    <m/>
  </r>
  <r>
    <x v="0"/>
    <s v="Travel_Frequently"/>
    <x v="2"/>
    <s v="Current Employees"/>
    <x v="5"/>
    <x v="4"/>
    <s v="STAFF-43"/>
    <n v="43"/>
    <x v="0"/>
    <x v="8"/>
    <x v="0"/>
    <s v="Yes"/>
    <n v="48"/>
    <n v="48087"/>
    <n v="2"/>
    <n v="2"/>
    <n v="17"/>
    <n v="9"/>
    <n v="0"/>
    <n v="1"/>
    <n v="3"/>
    <n v="26"/>
    <x v="3"/>
    <m/>
  </r>
  <r>
    <x v="0"/>
    <s v="Travel_Frequently"/>
    <x v="4"/>
    <s v="Current Employees"/>
    <x v="0"/>
    <x v="4"/>
    <s v="STAFF-44"/>
    <n v="44"/>
    <x v="1"/>
    <x v="8"/>
    <x v="0"/>
    <s v="No"/>
    <n v="38"/>
    <n v="149195"/>
    <n v="4"/>
    <n v="4"/>
    <n v="5"/>
    <n v="38"/>
    <n v="0"/>
    <n v="4"/>
    <n v="4"/>
    <n v="20"/>
    <x v="3"/>
    <m/>
  </r>
  <r>
    <x v="0"/>
    <s v="Non-Travel"/>
    <x v="1"/>
    <s v="Current Employees"/>
    <x v="5"/>
    <x v="1"/>
    <s v="STAFF-45"/>
    <n v="45"/>
    <x v="0"/>
    <x v="8"/>
    <x v="0"/>
    <s v="Yes"/>
    <n v="32"/>
    <n v="141338"/>
    <n v="4"/>
    <n v="3"/>
    <n v="11"/>
    <n v="37"/>
    <n v="3"/>
    <n v="4"/>
    <n v="3"/>
    <n v="16"/>
    <x v="3"/>
    <m/>
  </r>
  <r>
    <x v="0"/>
    <s v="Travel_Rarely"/>
    <x v="1"/>
    <s v="Current Employees"/>
    <x v="4"/>
    <x v="2"/>
    <s v="STAFF-46"/>
    <n v="46"/>
    <x v="1"/>
    <x v="9"/>
    <x v="1"/>
    <s v="No"/>
    <n v="56"/>
    <n v="27619"/>
    <n v="4"/>
    <n v="1"/>
    <n v="20"/>
    <n v="16"/>
    <n v="2"/>
    <n v="1"/>
    <n v="4"/>
    <n v="28"/>
    <x v="0"/>
    <m/>
  </r>
  <r>
    <x v="0"/>
    <s v="Travel_Frequently"/>
    <x v="0"/>
    <s v="Current Employees"/>
    <x v="2"/>
    <x v="5"/>
    <s v="STAFF-47"/>
    <n v="47"/>
    <x v="0"/>
    <x v="3"/>
    <x v="0"/>
    <s v="No"/>
    <n v="60"/>
    <n v="148676"/>
    <n v="4"/>
    <n v="1"/>
    <n v="13"/>
    <n v="17"/>
    <n v="4"/>
    <n v="2"/>
    <n v="4"/>
    <n v="15"/>
    <x v="2"/>
    <m/>
  </r>
  <r>
    <x v="0"/>
    <s v="Travel_Rarely"/>
    <x v="3"/>
    <s v="Current Employees"/>
    <x v="2"/>
    <x v="3"/>
    <s v="STAFF-48"/>
    <n v="48"/>
    <x v="0"/>
    <x v="8"/>
    <x v="0"/>
    <s v="Yes"/>
    <n v="56"/>
    <n v="124952"/>
    <n v="1"/>
    <n v="2"/>
    <n v="7"/>
    <n v="29"/>
    <n v="0"/>
    <n v="2"/>
    <n v="4"/>
    <n v="30"/>
    <x v="3"/>
    <m/>
  </r>
  <r>
    <x v="0"/>
    <s v="Travel_Frequently"/>
    <x v="1"/>
    <s v="Current Employees"/>
    <x v="1"/>
    <x v="0"/>
    <s v="STAFF-49"/>
    <n v="49"/>
    <x v="1"/>
    <x v="4"/>
    <x v="2"/>
    <s v="No"/>
    <n v="33"/>
    <n v="175123"/>
    <n v="2"/>
    <n v="1"/>
    <n v="17"/>
    <n v="26"/>
    <n v="2"/>
    <n v="3"/>
    <n v="3"/>
    <n v="10"/>
    <x v="3"/>
    <m/>
  </r>
  <r>
    <x v="0"/>
    <s v="Travel_Frequently"/>
    <x v="2"/>
    <s v="Current Employees"/>
    <x v="5"/>
    <x v="0"/>
    <s v="STAFF-50"/>
    <n v="50"/>
    <x v="1"/>
    <x v="4"/>
    <x v="1"/>
    <s v="No"/>
    <n v="42"/>
    <n v="162681"/>
    <n v="4"/>
    <n v="4"/>
    <n v="20"/>
    <n v="12"/>
    <n v="5"/>
    <n v="2"/>
    <n v="4"/>
    <n v="8"/>
    <x v="2"/>
    <m/>
  </r>
  <r>
    <x v="0"/>
    <s v="Travel_Frequently"/>
    <x v="2"/>
    <s v="Current Employees"/>
    <x v="5"/>
    <x v="5"/>
    <s v="STAFF-51"/>
    <n v="51"/>
    <x v="0"/>
    <x v="9"/>
    <x v="2"/>
    <s v="Yes"/>
    <n v="53"/>
    <n v="172712"/>
    <n v="3"/>
    <n v="1"/>
    <n v="28"/>
    <n v="6"/>
    <n v="4"/>
    <n v="4"/>
    <n v="3"/>
    <n v="24"/>
    <x v="4"/>
    <m/>
  </r>
  <r>
    <x v="0"/>
    <s v="Travel_Rarely"/>
    <x v="2"/>
    <s v="Current Employees"/>
    <x v="3"/>
    <x v="5"/>
    <s v="STAFF-52"/>
    <n v="52"/>
    <x v="1"/>
    <x v="1"/>
    <x v="0"/>
    <s v="No"/>
    <n v="26"/>
    <n v="104131"/>
    <n v="4"/>
    <n v="3"/>
    <n v="40"/>
    <n v="31"/>
    <n v="6"/>
    <n v="1"/>
    <n v="3"/>
    <n v="8"/>
    <x v="3"/>
    <m/>
  </r>
  <r>
    <x v="1"/>
    <s v="Travel_Rarely"/>
    <x v="2"/>
    <s v="Ex-Employees"/>
    <x v="1"/>
    <x v="3"/>
    <s v="STAFF-53"/>
    <n v="53"/>
    <x v="0"/>
    <x v="9"/>
    <x v="2"/>
    <s v="No"/>
    <n v="22"/>
    <n v="30056"/>
    <n v="3"/>
    <n v="1"/>
    <n v="18"/>
    <n v="22"/>
    <n v="2"/>
    <n v="4"/>
    <n v="3"/>
    <n v="8"/>
    <x v="0"/>
    <m/>
  </r>
  <r>
    <x v="0"/>
    <s v="Travel_Rarely"/>
    <x v="2"/>
    <s v="Current Employees"/>
    <x v="3"/>
    <x v="0"/>
    <s v="STAFF-54"/>
    <n v="54"/>
    <x v="0"/>
    <x v="2"/>
    <x v="1"/>
    <s v="Yes"/>
    <n v="52"/>
    <n v="170871"/>
    <n v="2"/>
    <n v="2"/>
    <n v="29"/>
    <n v="40"/>
    <n v="2"/>
    <n v="4"/>
    <n v="4"/>
    <n v="22"/>
    <x v="1"/>
    <m/>
  </r>
  <r>
    <x v="1"/>
    <s v="Non-Travel"/>
    <x v="2"/>
    <s v="Ex-Employees"/>
    <x v="0"/>
    <x v="1"/>
    <s v="STAFF-55"/>
    <n v="55"/>
    <x v="0"/>
    <x v="0"/>
    <x v="1"/>
    <s v="No"/>
    <n v="58"/>
    <n v="96421"/>
    <n v="4"/>
    <n v="3"/>
    <n v="29"/>
    <n v="19"/>
    <n v="1"/>
    <n v="4"/>
    <n v="4"/>
    <n v="4"/>
    <x v="4"/>
    <m/>
  </r>
  <r>
    <x v="0"/>
    <s v="Non-Travel"/>
    <x v="1"/>
    <s v="Current Employees"/>
    <x v="0"/>
    <x v="2"/>
    <s v="STAFF-56"/>
    <n v="56"/>
    <x v="0"/>
    <x v="7"/>
    <x v="1"/>
    <s v="Yes"/>
    <n v="57"/>
    <n v="30856"/>
    <n v="4"/>
    <n v="3"/>
    <n v="14"/>
    <n v="38"/>
    <n v="6"/>
    <n v="3"/>
    <n v="3"/>
    <n v="21"/>
    <x v="4"/>
    <m/>
  </r>
  <r>
    <x v="0"/>
    <s v="Non-Travel"/>
    <x v="2"/>
    <s v="Current Employees"/>
    <x v="5"/>
    <x v="3"/>
    <s v="STAFF-57"/>
    <n v="57"/>
    <x v="0"/>
    <x v="0"/>
    <x v="0"/>
    <s v="Yes"/>
    <n v="40"/>
    <n v="133559"/>
    <n v="1"/>
    <n v="3"/>
    <n v="8"/>
    <n v="5"/>
    <n v="2"/>
    <n v="3"/>
    <n v="4"/>
    <n v="6"/>
    <x v="4"/>
    <m/>
  </r>
  <r>
    <x v="0"/>
    <s v="Non-Travel"/>
    <x v="2"/>
    <s v="Current Employees"/>
    <x v="0"/>
    <x v="1"/>
    <s v="STAFF-58"/>
    <n v="58"/>
    <x v="1"/>
    <x v="6"/>
    <x v="1"/>
    <s v="No"/>
    <n v="39"/>
    <n v="106792"/>
    <n v="1"/>
    <n v="4"/>
    <n v="4"/>
    <n v="9"/>
    <n v="6"/>
    <n v="2"/>
    <n v="4"/>
    <n v="28"/>
    <x v="0"/>
    <m/>
  </r>
  <r>
    <x v="0"/>
    <s v="Travel_Frequently"/>
    <x v="4"/>
    <s v="Current Employees"/>
    <x v="4"/>
    <x v="1"/>
    <s v="STAFF-59"/>
    <n v="59"/>
    <x v="0"/>
    <x v="9"/>
    <x v="1"/>
    <s v="No"/>
    <n v="58"/>
    <n v="117883"/>
    <n v="3"/>
    <n v="1"/>
    <n v="14"/>
    <n v="30"/>
    <n v="0"/>
    <n v="3"/>
    <n v="3"/>
    <n v="21"/>
    <x v="1"/>
    <m/>
  </r>
  <r>
    <x v="0"/>
    <s v="Travel_Frequently"/>
    <x v="2"/>
    <s v="Current Employees"/>
    <x v="5"/>
    <x v="3"/>
    <s v="STAFF-60"/>
    <n v="60"/>
    <x v="1"/>
    <x v="0"/>
    <x v="2"/>
    <s v="Yes"/>
    <n v="23"/>
    <n v="97787"/>
    <n v="4"/>
    <n v="1"/>
    <n v="6"/>
    <n v="15"/>
    <n v="4"/>
    <n v="2"/>
    <n v="4"/>
    <n v="15"/>
    <x v="3"/>
    <m/>
  </r>
  <r>
    <x v="0"/>
    <s v="Travel_Frequently"/>
    <x v="2"/>
    <s v="Current Employees"/>
    <x v="2"/>
    <x v="1"/>
    <s v="STAFF-61"/>
    <n v="61"/>
    <x v="0"/>
    <x v="7"/>
    <x v="0"/>
    <s v="Yes"/>
    <n v="52"/>
    <n v="179389"/>
    <n v="4"/>
    <n v="3"/>
    <n v="2"/>
    <n v="23"/>
    <n v="1"/>
    <n v="4"/>
    <n v="4"/>
    <n v="8"/>
    <x v="3"/>
    <m/>
  </r>
  <r>
    <x v="0"/>
    <s v="Non-Travel"/>
    <x v="2"/>
    <s v="Current Employees"/>
    <x v="2"/>
    <x v="2"/>
    <s v="STAFF-62"/>
    <n v="62"/>
    <x v="0"/>
    <x v="7"/>
    <x v="1"/>
    <s v="Yes"/>
    <n v="28"/>
    <n v="137201"/>
    <n v="1"/>
    <n v="2"/>
    <n v="40"/>
    <n v="38"/>
    <n v="0"/>
    <n v="1"/>
    <n v="4"/>
    <n v="8"/>
    <x v="4"/>
    <m/>
  </r>
  <r>
    <x v="0"/>
    <s v="Travel_Rarely"/>
    <x v="1"/>
    <s v="Current Employees"/>
    <x v="2"/>
    <x v="1"/>
    <s v="STAFF-63"/>
    <n v="63"/>
    <x v="0"/>
    <x v="3"/>
    <x v="1"/>
    <s v="Yes"/>
    <n v="59"/>
    <n v="18743"/>
    <n v="3"/>
    <n v="2"/>
    <n v="8"/>
    <n v="34"/>
    <n v="2"/>
    <n v="2"/>
    <n v="3"/>
    <n v="22"/>
    <x v="1"/>
    <m/>
  </r>
  <r>
    <x v="0"/>
    <s v="Non-Travel"/>
    <x v="1"/>
    <s v="Current Employees"/>
    <x v="3"/>
    <x v="2"/>
    <s v="STAFF-64"/>
    <n v="64"/>
    <x v="0"/>
    <x v="6"/>
    <x v="1"/>
    <s v="Yes"/>
    <n v="29"/>
    <n v="128352"/>
    <n v="1"/>
    <n v="1"/>
    <n v="30"/>
    <n v="28"/>
    <n v="6"/>
    <n v="3"/>
    <n v="3"/>
    <n v="15"/>
    <x v="0"/>
    <m/>
  </r>
  <r>
    <x v="0"/>
    <s v="Non-Travel"/>
    <x v="2"/>
    <s v="Current Employees"/>
    <x v="5"/>
    <x v="1"/>
    <s v="STAFF-65"/>
    <n v="65"/>
    <x v="1"/>
    <x v="9"/>
    <x v="0"/>
    <s v="Yes"/>
    <n v="24"/>
    <n v="143562"/>
    <n v="4"/>
    <n v="4"/>
    <n v="6"/>
    <n v="31"/>
    <n v="5"/>
    <n v="4"/>
    <n v="3"/>
    <n v="29"/>
    <x v="1"/>
    <m/>
  </r>
  <r>
    <x v="0"/>
    <s v="Travel_Frequently"/>
    <x v="1"/>
    <s v="Current Employees"/>
    <x v="3"/>
    <x v="1"/>
    <s v="STAFF-66"/>
    <n v="66"/>
    <x v="1"/>
    <x v="7"/>
    <x v="0"/>
    <s v="No"/>
    <n v="50"/>
    <n v="150527"/>
    <n v="4"/>
    <n v="1"/>
    <n v="7"/>
    <n v="41"/>
    <n v="5"/>
    <n v="2"/>
    <n v="4"/>
    <n v="15"/>
    <x v="4"/>
    <m/>
  </r>
  <r>
    <x v="0"/>
    <s v="Travel_Frequently"/>
    <x v="4"/>
    <s v="Current Employees"/>
    <x v="1"/>
    <x v="3"/>
    <s v="STAFF-67"/>
    <n v="67"/>
    <x v="0"/>
    <x v="1"/>
    <x v="1"/>
    <s v="No"/>
    <n v="37"/>
    <n v="116120"/>
    <n v="2"/>
    <n v="4"/>
    <n v="4"/>
    <n v="5"/>
    <n v="6"/>
    <n v="1"/>
    <n v="3"/>
    <n v="14"/>
    <x v="1"/>
    <m/>
  </r>
  <r>
    <x v="0"/>
    <s v="Non-Travel"/>
    <x v="1"/>
    <s v="Current Employees"/>
    <x v="3"/>
    <x v="4"/>
    <s v="STAFF-68"/>
    <n v="68"/>
    <x v="1"/>
    <x v="0"/>
    <x v="1"/>
    <s v="No"/>
    <n v="48"/>
    <n v="31486"/>
    <n v="3"/>
    <n v="3"/>
    <n v="22"/>
    <n v="6"/>
    <n v="4"/>
    <n v="2"/>
    <n v="3"/>
    <n v="22"/>
    <x v="2"/>
    <m/>
  </r>
  <r>
    <x v="0"/>
    <s v="Travel_Frequently"/>
    <x v="1"/>
    <s v="Current Employees"/>
    <x v="2"/>
    <x v="4"/>
    <s v="STAFF-69"/>
    <n v="69"/>
    <x v="1"/>
    <x v="2"/>
    <x v="2"/>
    <s v="No"/>
    <n v="56"/>
    <n v="178844"/>
    <n v="1"/>
    <n v="3"/>
    <n v="1"/>
    <n v="11"/>
    <n v="2"/>
    <n v="3"/>
    <n v="4"/>
    <n v="12"/>
    <x v="1"/>
    <m/>
  </r>
  <r>
    <x v="0"/>
    <s v="Travel_Frequently"/>
    <x v="1"/>
    <s v="Current Employees"/>
    <x v="5"/>
    <x v="4"/>
    <s v="STAFF-70"/>
    <n v="70"/>
    <x v="0"/>
    <x v="5"/>
    <x v="2"/>
    <s v="Yes"/>
    <n v="45"/>
    <n v="128056"/>
    <n v="4"/>
    <n v="3"/>
    <n v="10"/>
    <n v="23"/>
    <n v="2"/>
    <n v="3"/>
    <n v="3"/>
    <n v="29"/>
    <x v="1"/>
    <m/>
  </r>
  <r>
    <x v="0"/>
    <s v="Non-Travel"/>
    <x v="4"/>
    <s v="Current Employees"/>
    <x v="4"/>
    <x v="4"/>
    <s v="STAFF-71"/>
    <n v="71"/>
    <x v="1"/>
    <x v="9"/>
    <x v="0"/>
    <s v="No"/>
    <n v="52"/>
    <n v="177141"/>
    <n v="4"/>
    <n v="4"/>
    <n v="17"/>
    <n v="13"/>
    <n v="6"/>
    <n v="1"/>
    <n v="4"/>
    <n v="14"/>
    <x v="1"/>
    <m/>
  </r>
  <r>
    <x v="0"/>
    <s v="Non-Travel"/>
    <x v="2"/>
    <s v="Current Employees"/>
    <x v="1"/>
    <x v="3"/>
    <s v="STAFF-72"/>
    <n v="72"/>
    <x v="1"/>
    <x v="5"/>
    <x v="2"/>
    <s v="No"/>
    <n v="59"/>
    <n v="32360"/>
    <n v="1"/>
    <n v="2"/>
    <n v="19"/>
    <n v="13"/>
    <n v="6"/>
    <n v="2"/>
    <n v="4"/>
    <n v="10"/>
    <x v="3"/>
    <m/>
  </r>
  <r>
    <x v="0"/>
    <s v="Travel_Rarely"/>
    <x v="2"/>
    <s v="Current Employees"/>
    <x v="1"/>
    <x v="0"/>
    <s v="STAFF-73"/>
    <n v="73"/>
    <x v="1"/>
    <x v="4"/>
    <x v="0"/>
    <s v="Yes"/>
    <n v="53"/>
    <n v="164466"/>
    <n v="3"/>
    <n v="1"/>
    <n v="25"/>
    <n v="2"/>
    <n v="3"/>
    <n v="1"/>
    <n v="4"/>
    <n v="30"/>
    <x v="1"/>
    <m/>
  </r>
  <r>
    <x v="1"/>
    <s v="Travel_Frequently"/>
    <x v="2"/>
    <s v="Ex-Employees"/>
    <x v="2"/>
    <x v="3"/>
    <s v="STAFF-74"/>
    <n v="74"/>
    <x v="1"/>
    <x v="8"/>
    <x v="2"/>
    <s v="No"/>
    <n v="22"/>
    <n v="103136"/>
    <n v="2"/>
    <n v="4"/>
    <n v="23"/>
    <n v="5"/>
    <n v="3"/>
    <n v="1"/>
    <n v="3"/>
    <n v="14"/>
    <x v="0"/>
    <m/>
  </r>
  <r>
    <x v="0"/>
    <s v="Non-Travel"/>
    <x v="0"/>
    <s v="Current Employees"/>
    <x v="0"/>
    <x v="2"/>
    <s v="STAFF-75"/>
    <n v="75"/>
    <x v="0"/>
    <x v="1"/>
    <x v="2"/>
    <s v="Yes"/>
    <n v="53"/>
    <n v="47891"/>
    <n v="2"/>
    <n v="3"/>
    <n v="22"/>
    <n v="41"/>
    <n v="6"/>
    <n v="2"/>
    <n v="3"/>
    <n v="4"/>
    <x v="4"/>
    <m/>
  </r>
  <r>
    <x v="0"/>
    <s v="Non-Travel"/>
    <x v="1"/>
    <s v="Current Employees"/>
    <x v="3"/>
    <x v="4"/>
    <s v="STAFF-76"/>
    <n v="76"/>
    <x v="0"/>
    <x v="9"/>
    <x v="1"/>
    <s v="No"/>
    <n v="57"/>
    <n v="102727"/>
    <n v="3"/>
    <n v="2"/>
    <n v="28"/>
    <n v="4"/>
    <n v="3"/>
    <n v="4"/>
    <n v="4"/>
    <n v="26"/>
    <x v="3"/>
    <m/>
  </r>
  <r>
    <x v="0"/>
    <s v="Travel_Frequently"/>
    <x v="1"/>
    <s v="Current Employees"/>
    <x v="4"/>
    <x v="5"/>
    <s v="STAFF-77"/>
    <n v="77"/>
    <x v="1"/>
    <x v="5"/>
    <x v="2"/>
    <s v="No"/>
    <n v="39"/>
    <n v="38114"/>
    <n v="1"/>
    <n v="4"/>
    <n v="29"/>
    <n v="37"/>
    <n v="4"/>
    <n v="1"/>
    <n v="4"/>
    <n v="30"/>
    <x v="0"/>
    <m/>
  </r>
  <r>
    <x v="0"/>
    <s v="Non-Travel"/>
    <x v="1"/>
    <s v="Current Employees"/>
    <x v="1"/>
    <x v="0"/>
    <s v="STAFF-78"/>
    <n v="78"/>
    <x v="0"/>
    <x v="9"/>
    <x v="2"/>
    <s v="No"/>
    <n v="26"/>
    <n v="150264"/>
    <n v="2"/>
    <n v="1"/>
    <n v="15"/>
    <n v="28"/>
    <n v="3"/>
    <n v="2"/>
    <n v="4"/>
    <n v="12"/>
    <x v="3"/>
    <m/>
  </r>
  <r>
    <x v="0"/>
    <s v="Non-Travel"/>
    <x v="4"/>
    <s v="Current Employees"/>
    <x v="5"/>
    <x v="4"/>
    <s v="STAFF-79"/>
    <n v="79"/>
    <x v="1"/>
    <x v="0"/>
    <x v="1"/>
    <s v="Yes"/>
    <n v="56"/>
    <n v="119335"/>
    <n v="3"/>
    <n v="3"/>
    <n v="38"/>
    <n v="9"/>
    <n v="2"/>
    <n v="1"/>
    <n v="3"/>
    <n v="30"/>
    <x v="3"/>
    <m/>
  </r>
  <r>
    <x v="0"/>
    <s v="Travel_Frequently"/>
    <x v="2"/>
    <s v="Current Employees"/>
    <x v="5"/>
    <x v="0"/>
    <s v="STAFF-80"/>
    <n v="80"/>
    <x v="0"/>
    <x v="8"/>
    <x v="0"/>
    <s v="No"/>
    <n v="42"/>
    <n v="51500"/>
    <n v="1"/>
    <n v="4"/>
    <n v="32"/>
    <n v="23"/>
    <n v="0"/>
    <n v="3"/>
    <n v="4"/>
    <n v="6"/>
    <x v="4"/>
    <m/>
  </r>
  <r>
    <x v="0"/>
    <s v="Travel_Rarely"/>
    <x v="4"/>
    <s v="Current Employees"/>
    <x v="3"/>
    <x v="0"/>
    <s v="STAFF-81"/>
    <n v="81"/>
    <x v="0"/>
    <x v="0"/>
    <x v="1"/>
    <s v="Yes"/>
    <n v="53"/>
    <n v="159497"/>
    <n v="1"/>
    <n v="3"/>
    <n v="39"/>
    <n v="8"/>
    <n v="4"/>
    <n v="4"/>
    <n v="3"/>
    <n v="6"/>
    <x v="4"/>
    <m/>
  </r>
  <r>
    <x v="0"/>
    <s v="Non-Travel"/>
    <x v="4"/>
    <s v="Current Employees"/>
    <x v="3"/>
    <x v="5"/>
    <s v="STAFF-82"/>
    <n v="82"/>
    <x v="0"/>
    <x v="7"/>
    <x v="1"/>
    <s v="Yes"/>
    <n v="49"/>
    <n v="178063"/>
    <n v="3"/>
    <n v="4"/>
    <n v="14"/>
    <n v="34"/>
    <n v="1"/>
    <n v="3"/>
    <n v="4"/>
    <n v="29"/>
    <x v="4"/>
    <m/>
  </r>
  <r>
    <x v="0"/>
    <s v="Travel_Frequently"/>
    <x v="4"/>
    <s v="Current Employees"/>
    <x v="1"/>
    <x v="2"/>
    <s v="STAFF-83"/>
    <n v="83"/>
    <x v="1"/>
    <x v="4"/>
    <x v="0"/>
    <s v="No"/>
    <n v="31"/>
    <n v="70349"/>
    <n v="2"/>
    <n v="3"/>
    <n v="3"/>
    <n v="41"/>
    <n v="3"/>
    <n v="3"/>
    <n v="3"/>
    <n v="23"/>
    <x v="0"/>
    <m/>
  </r>
  <r>
    <x v="1"/>
    <s v="Travel_Frequently"/>
    <x v="1"/>
    <s v="Ex-Employees"/>
    <x v="3"/>
    <x v="5"/>
    <s v="STAFF-84"/>
    <n v="84"/>
    <x v="0"/>
    <x v="7"/>
    <x v="2"/>
    <s v="Yes"/>
    <n v="49"/>
    <n v="109641"/>
    <n v="1"/>
    <n v="4"/>
    <n v="3"/>
    <n v="25"/>
    <n v="4"/>
    <n v="3"/>
    <n v="3"/>
    <n v="13"/>
    <x v="1"/>
    <m/>
  </r>
  <r>
    <x v="0"/>
    <s v="Non-Travel"/>
    <x v="0"/>
    <s v="Current Employees"/>
    <x v="4"/>
    <x v="3"/>
    <s v="STAFF-85"/>
    <n v="85"/>
    <x v="1"/>
    <x v="6"/>
    <x v="2"/>
    <s v="Yes"/>
    <n v="39"/>
    <n v="141851"/>
    <n v="2"/>
    <n v="4"/>
    <n v="28"/>
    <n v="39"/>
    <n v="0"/>
    <n v="1"/>
    <n v="3"/>
    <n v="9"/>
    <x v="4"/>
    <m/>
  </r>
  <r>
    <x v="0"/>
    <s v="Non-Travel"/>
    <x v="2"/>
    <s v="Current Employees"/>
    <x v="5"/>
    <x v="1"/>
    <s v="STAFF-86"/>
    <n v="86"/>
    <x v="1"/>
    <x v="0"/>
    <x v="1"/>
    <s v="Yes"/>
    <n v="40"/>
    <n v="49941"/>
    <n v="1"/>
    <n v="2"/>
    <n v="26"/>
    <n v="40"/>
    <n v="6"/>
    <n v="4"/>
    <n v="3"/>
    <n v="4"/>
    <x v="2"/>
    <m/>
  </r>
  <r>
    <x v="0"/>
    <s v="Non-Travel"/>
    <x v="0"/>
    <s v="Current Employees"/>
    <x v="2"/>
    <x v="0"/>
    <s v="STAFF-87"/>
    <n v="87"/>
    <x v="0"/>
    <x v="8"/>
    <x v="1"/>
    <s v="Yes"/>
    <n v="60"/>
    <n v="110488"/>
    <n v="2"/>
    <n v="4"/>
    <n v="11"/>
    <n v="42"/>
    <n v="5"/>
    <n v="1"/>
    <n v="4"/>
    <n v="3"/>
    <x v="0"/>
    <m/>
  </r>
  <r>
    <x v="0"/>
    <s v="Non-Travel"/>
    <x v="4"/>
    <s v="Current Employees"/>
    <x v="2"/>
    <x v="4"/>
    <s v="STAFF-88"/>
    <n v="88"/>
    <x v="1"/>
    <x v="9"/>
    <x v="2"/>
    <s v="No"/>
    <n v="44"/>
    <n v="84492"/>
    <n v="1"/>
    <n v="3"/>
    <n v="4"/>
    <n v="22"/>
    <n v="1"/>
    <n v="1"/>
    <n v="4"/>
    <n v="5"/>
    <x v="1"/>
    <m/>
  </r>
  <r>
    <x v="0"/>
    <s v="Travel_Rarely"/>
    <x v="1"/>
    <s v="Current Employees"/>
    <x v="5"/>
    <x v="3"/>
    <s v="STAFF-89"/>
    <n v="89"/>
    <x v="1"/>
    <x v="9"/>
    <x v="0"/>
    <s v="Yes"/>
    <n v="29"/>
    <n v="34541"/>
    <n v="4"/>
    <n v="1"/>
    <n v="18"/>
    <n v="12"/>
    <n v="0"/>
    <n v="2"/>
    <n v="3"/>
    <n v="11"/>
    <x v="3"/>
    <m/>
  </r>
  <r>
    <x v="0"/>
    <s v="Travel_Frequently"/>
    <x v="3"/>
    <s v="Current Employees"/>
    <x v="2"/>
    <x v="2"/>
    <s v="STAFF-90"/>
    <n v="90"/>
    <x v="0"/>
    <x v="3"/>
    <x v="1"/>
    <s v="No"/>
    <n v="24"/>
    <n v="105012"/>
    <n v="3"/>
    <n v="1"/>
    <n v="23"/>
    <n v="27"/>
    <n v="3"/>
    <n v="4"/>
    <n v="4"/>
    <n v="11"/>
    <x v="4"/>
    <m/>
  </r>
  <r>
    <x v="0"/>
    <s v="Travel_Frequently"/>
    <x v="2"/>
    <s v="Current Employees"/>
    <x v="2"/>
    <x v="4"/>
    <s v="STAFF-91"/>
    <n v="91"/>
    <x v="1"/>
    <x v="0"/>
    <x v="1"/>
    <s v="Yes"/>
    <n v="55"/>
    <n v="95009"/>
    <n v="3"/>
    <n v="1"/>
    <n v="5"/>
    <n v="20"/>
    <n v="5"/>
    <n v="3"/>
    <n v="4"/>
    <n v="15"/>
    <x v="0"/>
    <m/>
  </r>
  <r>
    <x v="0"/>
    <s v="Travel_Frequently"/>
    <x v="1"/>
    <s v="Current Employees"/>
    <x v="1"/>
    <x v="5"/>
    <s v="STAFF-92"/>
    <n v="92"/>
    <x v="0"/>
    <x v="1"/>
    <x v="0"/>
    <s v="No"/>
    <n v="38"/>
    <n v="33036"/>
    <n v="1"/>
    <n v="4"/>
    <n v="23"/>
    <n v="32"/>
    <n v="6"/>
    <n v="2"/>
    <n v="3"/>
    <n v="5"/>
    <x v="0"/>
    <m/>
  </r>
  <r>
    <x v="0"/>
    <s v="Travel_Rarely"/>
    <x v="1"/>
    <s v="Current Employees"/>
    <x v="3"/>
    <x v="0"/>
    <s v="STAFF-93"/>
    <n v="93"/>
    <x v="1"/>
    <x v="1"/>
    <x v="1"/>
    <s v="Yes"/>
    <n v="59"/>
    <n v="58222"/>
    <n v="4"/>
    <n v="3"/>
    <n v="23"/>
    <n v="28"/>
    <n v="6"/>
    <n v="1"/>
    <n v="3"/>
    <n v="17"/>
    <x v="3"/>
    <m/>
  </r>
  <r>
    <x v="0"/>
    <s v="Travel_Rarely"/>
    <x v="2"/>
    <s v="Current Employees"/>
    <x v="3"/>
    <x v="4"/>
    <s v="STAFF-94"/>
    <n v="94"/>
    <x v="0"/>
    <x v="9"/>
    <x v="0"/>
    <s v="No"/>
    <n v="56"/>
    <n v="48870"/>
    <n v="3"/>
    <n v="3"/>
    <n v="28"/>
    <n v="13"/>
    <n v="4"/>
    <n v="3"/>
    <n v="4"/>
    <n v="7"/>
    <x v="1"/>
    <m/>
  </r>
  <r>
    <x v="0"/>
    <s v="Non-Travel"/>
    <x v="0"/>
    <s v="Current Employees"/>
    <x v="3"/>
    <x v="5"/>
    <s v="STAFF-95"/>
    <n v="95"/>
    <x v="0"/>
    <x v="1"/>
    <x v="0"/>
    <s v="No"/>
    <n v="25"/>
    <n v="162178"/>
    <n v="3"/>
    <n v="3"/>
    <n v="10"/>
    <n v="40"/>
    <n v="1"/>
    <n v="3"/>
    <n v="3"/>
    <n v="4"/>
    <x v="4"/>
    <m/>
  </r>
  <r>
    <x v="0"/>
    <s v="Travel_Rarely"/>
    <x v="1"/>
    <s v="Current Employees"/>
    <x v="1"/>
    <x v="2"/>
    <s v="STAFF-96"/>
    <n v="96"/>
    <x v="1"/>
    <x v="9"/>
    <x v="0"/>
    <s v="Yes"/>
    <n v="60"/>
    <n v="40600"/>
    <n v="1"/>
    <n v="3"/>
    <n v="25"/>
    <n v="30"/>
    <n v="4"/>
    <n v="4"/>
    <n v="4"/>
    <n v="27"/>
    <x v="0"/>
    <m/>
  </r>
  <r>
    <x v="0"/>
    <s v="Travel_Rarely"/>
    <x v="3"/>
    <s v="Current Employees"/>
    <x v="5"/>
    <x v="5"/>
    <s v="STAFF-97"/>
    <n v="97"/>
    <x v="1"/>
    <x v="4"/>
    <x v="1"/>
    <s v="Yes"/>
    <n v="56"/>
    <n v="172084"/>
    <n v="2"/>
    <n v="2"/>
    <n v="27"/>
    <n v="32"/>
    <n v="6"/>
    <n v="1"/>
    <n v="3"/>
    <n v="17"/>
    <x v="4"/>
    <m/>
  </r>
  <r>
    <x v="0"/>
    <s v="Travel_Rarely"/>
    <x v="1"/>
    <s v="Current Employees"/>
    <x v="5"/>
    <x v="2"/>
    <s v="STAFF-98"/>
    <n v="98"/>
    <x v="1"/>
    <x v="0"/>
    <x v="1"/>
    <s v="Yes"/>
    <n v="56"/>
    <n v="89945"/>
    <n v="2"/>
    <n v="3"/>
    <n v="39"/>
    <n v="34"/>
    <n v="0"/>
    <n v="2"/>
    <n v="3"/>
    <n v="6"/>
    <x v="0"/>
    <m/>
  </r>
  <r>
    <x v="0"/>
    <s v="Travel_Rarely"/>
    <x v="2"/>
    <s v="Current Employees"/>
    <x v="2"/>
    <x v="4"/>
    <s v="STAFF-99"/>
    <n v="99"/>
    <x v="0"/>
    <x v="5"/>
    <x v="0"/>
    <s v="No"/>
    <n v="34"/>
    <n v="167982"/>
    <n v="4"/>
    <n v="1"/>
    <n v="31"/>
    <n v="40"/>
    <n v="4"/>
    <n v="3"/>
    <n v="4"/>
    <n v="16"/>
    <x v="4"/>
    <m/>
  </r>
  <r>
    <x v="0"/>
    <s v="Travel_Frequently"/>
    <x v="2"/>
    <s v="Current Employees"/>
    <x v="0"/>
    <x v="4"/>
    <s v="STAFF-100"/>
    <n v="100"/>
    <x v="0"/>
    <x v="6"/>
    <x v="1"/>
    <s v="No"/>
    <n v="51"/>
    <n v="139750"/>
    <n v="2"/>
    <n v="3"/>
    <n v="38"/>
    <n v="9"/>
    <n v="2"/>
    <n v="3"/>
    <n v="4"/>
    <n v="13"/>
    <x v="4"/>
    <m/>
  </r>
  <r>
    <x v="0"/>
    <s v="Travel_Frequently"/>
    <x v="2"/>
    <s v="Current Employees"/>
    <x v="4"/>
    <x v="0"/>
    <s v="STAFF-101"/>
    <n v="101"/>
    <x v="1"/>
    <x v="0"/>
    <x v="1"/>
    <s v="No"/>
    <n v="36"/>
    <n v="54930"/>
    <n v="1"/>
    <n v="1"/>
    <n v="18"/>
    <n v="24"/>
    <n v="6"/>
    <n v="4"/>
    <n v="3"/>
    <n v="28"/>
    <x v="4"/>
    <m/>
  </r>
  <r>
    <x v="0"/>
    <s v="Travel_Frequently"/>
    <x v="4"/>
    <s v="Current Employees"/>
    <x v="5"/>
    <x v="0"/>
    <s v="STAFF-102"/>
    <n v="102"/>
    <x v="0"/>
    <x v="9"/>
    <x v="0"/>
    <s v="No"/>
    <n v="52"/>
    <n v="98882"/>
    <n v="4"/>
    <n v="1"/>
    <n v="5"/>
    <n v="25"/>
    <n v="4"/>
    <n v="4"/>
    <n v="3"/>
    <n v="7"/>
    <x v="0"/>
    <m/>
  </r>
  <r>
    <x v="0"/>
    <s v="Non-Travel"/>
    <x v="0"/>
    <s v="Current Employees"/>
    <x v="1"/>
    <x v="3"/>
    <s v="STAFF-103"/>
    <n v="103"/>
    <x v="1"/>
    <x v="8"/>
    <x v="0"/>
    <s v="Yes"/>
    <n v="27"/>
    <n v="130965"/>
    <n v="2"/>
    <n v="3"/>
    <n v="23"/>
    <n v="25"/>
    <n v="2"/>
    <n v="1"/>
    <n v="4"/>
    <n v="2"/>
    <x v="0"/>
    <m/>
  </r>
  <r>
    <x v="0"/>
    <s v="Travel_Rarely"/>
    <x v="1"/>
    <s v="Current Employees"/>
    <x v="0"/>
    <x v="5"/>
    <s v="STAFF-104"/>
    <n v="104"/>
    <x v="1"/>
    <x v="4"/>
    <x v="1"/>
    <s v="Yes"/>
    <n v="29"/>
    <n v="43344"/>
    <n v="4"/>
    <n v="3"/>
    <n v="21"/>
    <n v="35"/>
    <n v="2"/>
    <n v="2"/>
    <n v="3"/>
    <n v="20"/>
    <x v="0"/>
    <m/>
  </r>
  <r>
    <x v="0"/>
    <s v="Travel_Rarely"/>
    <x v="0"/>
    <s v="Current Employees"/>
    <x v="4"/>
    <x v="3"/>
    <s v="STAFF-105"/>
    <n v="105"/>
    <x v="1"/>
    <x v="9"/>
    <x v="0"/>
    <s v="No"/>
    <n v="30"/>
    <n v="176927"/>
    <n v="2"/>
    <n v="3"/>
    <n v="39"/>
    <n v="20"/>
    <n v="1"/>
    <n v="4"/>
    <n v="4"/>
    <n v="19"/>
    <x v="3"/>
    <m/>
  </r>
  <r>
    <x v="0"/>
    <s v="Non-Travel"/>
    <x v="2"/>
    <s v="Current Employees"/>
    <x v="1"/>
    <x v="1"/>
    <s v="STAFF-106"/>
    <n v="106"/>
    <x v="1"/>
    <x v="9"/>
    <x v="2"/>
    <s v="No"/>
    <n v="42"/>
    <n v="46732"/>
    <n v="4"/>
    <n v="3"/>
    <n v="40"/>
    <n v="1"/>
    <n v="4"/>
    <n v="4"/>
    <n v="4"/>
    <n v="21"/>
    <x v="0"/>
    <m/>
  </r>
  <r>
    <x v="0"/>
    <s v="Travel_Frequently"/>
    <x v="2"/>
    <s v="Current Employees"/>
    <x v="2"/>
    <x v="0"/>
    <s v="STAFF-107"/>
    <n v="107"/>
    <x v="1"/>
    <x v="6"/>
    <x v="0"/>
    <s v="Yes"/>
    <n v="23"/>
    <n v="168095"/>
    <n v="1"/>
    <n v="2"/>
    <n v="1"/>
    <n v="28"/>
    <n v="2"/>
    <n v="4"/>
    <n v="3"/>
    <n v="14"/>
    <x v="4"/>
    <m/>
  </r>
  <r>
    <x v="0"/>
    <s v="Non-Travel"/>
    <x v="4"/>
    <s v="Current Employees"/>
    <x v="1"/>
    <x v="3"/>
    <s v="STAFF-108"/>
    <n v="108"/>
    <x v="0"/>
    <x v="6"/>
    <x v="0"/>
    <s v="Yes"/>
    <n v="56"/>
    <n v="103209"/>
    <n v="4"/>
    <n v="4"/>
    <n v="20"/>
    <n v="11"/>
    <n v="3"/>
    <n v="3"/>
    <n v="4"/>
    <n v="22"/>
    <x v="3"/>
    <m/>
  </r>
  <r>
    <x v="0"/>
    <s v="Travel_Frequently"/>
    <x v="1"/>
    <s v="Current Employees"/>
    <x v="3"/>
    <x v="1"/>
    <s v="STAFF-109"/>
    <n v="109"/>
    <x v="1"/>
    <x v="3"/>
    <x v="1"/>
    <s v="No"/>
    <n v="34"/>
    <n v="146189"/>
    <n v="3"/>
    <n v="4"/>
    <n v="22"/>
    <n v="35"/>
    <n v="6"/>
    <n v="3"/>
    <n v="4"/>
    <n v="4"/>
    <x v="0"/>
    <m/>
  </r>
  <r>
    <x v="0"/>
    <s v="Travel_Frequently"/>
    <x v="1"/>
    <s v="Current Employees"/>
    <x v="1"/>
    <x v="0"/>
    <s v="STAFF-110"/>
    <n v="110"/>
    <x v="1"/>
    <x v="5"/>
    <x v="1"/>
    <s v="Yes"/>
    <n v="43"/>
    <n v="133966"/>
    <n v="3"/>
    <n v="4"/>
    <n v="13"/>
    <n v="12"/>
    <n v="6"/>
    <n v="3"/>
    <n v="4"/>
    <n v="5"/>
    <x v="1"/>
    <m/>
  </r>
  <r>
    <x v="0"/>
    <s v="Travel_Rarely"/>
    <x v="2"/>
    <s v="Current Employees"/>
    <x v="3"/>
    <x v="3"/>
    <s v="STAFF-111"/>
    <n v="111"/>
    <x v="0"/>
    <x v="3"/>
    <x v="2"/>
    <s v="Yes"/>
    <n v="47"/>
    <n v="104584"/>
    <n v="4"/>
    <n v="1"/>
    <n v="8"/>
    <n v="0"/>
    <n v="4"/>
    <n v="2"/>
    <n v="4"/>
    <n v="21"/>
    <x v="2"/>
    <m/>
  </r>
  <r>
    <x v="0"/>
    <s v="Travel_Frequently"/>
    <x v="1"/>
    <s v="Current Employees"/>
    <x v="0"/>
    <x v="2"/>
    <s v="STAFF-112"/>
    <n v="112"/>
    <x v="0"/>
    <x v="0"/>
    <x v="0"/>
    <s v="Yes"/>
    <n v="55"/>
    <n v="27777"/>
    <n v="2"/>
    <n v="4"/>
    <n v="11"/>
    <n v="2"/>
    <n v="6"/>
    <n v="4"/>
    <n v="4"/>
    <n v="6"/>
    <x v="3"/>
    <m/>
  </r>
  <r>
    <x v="1"/>
    <s v="Non-Travel"/>
    <x v="0"/>
    <s v="Ex-Employees"/>
    <x v="2"/>
    <x v="4"/>
    <s v="STAFF-113"/>
    <n v="113"/>
    <x v="1"/>
    <x v="8"/>
    <x v="1"/>
    <s v="No"/>
    <n v="29"/>
    <n v="150176"/>
    <n v="4"/>
    <n v="3"/>
    <n v="12"/>
    <n v="7"/>
    <n v="2"/>
    <n v="2"/>
    <n v="4"/>
    <n v="21"/>
    <x v="3"/>
    <m/>
  </r>
  <r>
    <x v="0"/>
    <s v="Travel_Frequently"/>
    <x v="0"/>
    <s v="Current Employees"/>
    <x v="0"/>
    <x v="1"/>
    <s v="STAFF-114"/>
    <n v="114"/>
    <x v="0"/>
    <x v="6"/>
    <x v="0"/>
    <s v="No"/>
    <n v="48"/>
    <n v="153077"/>
    <n v="3"/>
    <n v="1"/>
    <n v="25"/>
    <n v="42"/>
    <n v="0"/>
    <n v="2"/>
    <n v="3"/>
    <n v="16"/>
    <x v="3"/>
    <m/>
  </r>
  <r>
    <x v="1"/>
    <s v="Travel_Rarely"/>
    <x v="0"/>
    <s v="Ex-Employees"/>
    <x v="1"/>
    <x v="5"/>
    <s v="STAFF-115"/>
    <n v="115"/>
    <x v="1"/>
    <x v="1"/>
    <x v="1"/>
    <s v="Yes"/>
    <n v="37"/>
    <n v="112254"/>
    <n v="2"/>
    <n v="1"/>
    <n v="7"/>
    <n v="29"/>
    <n v="2"/>
    <n v="2"/>
    <n v="4"/>
    <n v="22"/>
    <x v="0"/>
    <m/>
  </r>
  <r>
    <x v="1"/>
    <s v="Non-Travel"/>
    <x v="4"/>
    <s v="Ex-Employees"/>
    <x v="0"/>
    <x v="4"/>
    <s v="STAFF-116"/>
    <n v="116"/>
    <x v="1"/>
    <x v="1"/>
    <x v="0"/>
    <s v="Yes"/>
    <n v="35"/>
    <n v="53014"/>
    <n v="4"/>
    <n v="2"/>
    <n v="29"/>
    <n v="38"/>
    <n v="2"/>
    <n v="4"/>
    <n v="4"/>
    <n v="25"/>
    <x v="0"/>
    <m/>
  </r>
  <r>
    <x v="0"/>
    <s v="Non-Travel"/>
    <x v="4"/>
    <s v="Current Employees"/>
    <x v="3"/>
    <x v="1"/>
    <s v="STAFF-117"/>
    <n v="117"/>
    <x v="0"/>
    <x v="4"/>
    <x v="1"/>
    <s v="No"/>
    <n v="25"/>
    <n v="165893"/>
    <n v="1"/>
    <n v="1"/>
    <n v="35"/>
    <n v="32"/>
    <n v="1"/>
    <n v="2"/>
    <n v="3"/>
    <n v="11"/>
    <x v="0"/>
    <m/>
  </r>
  <r>
    <x v="0"/>
    <s v="Non-Travel"/>
    <x v="2"/>
    <s v="Current Employees"/>
    <x v="5"/>
    <x v="5"/>
    <s v="STAFF-118"/>
    <n v="118"/>
    <x v="0"/>
    <x v="4"/>
    <x v="1"/>
    <s v="Yes"/>
    <n v="50"/>
    <n v="52588"/>
    <n v="4"/>
    <n v="4"/>
    <n v="36"/>
    <n v="3"/>
    <n v="4"/>
    <n v="4"/>
    <n v="4"/>
    <n v="24"/>
    <x v="1"/>
    <m/>
  </r>
  <r>
    <x v="0"/>
    <s v="Travel_Rarely"/>
    <x v="4"/>
    <s v="Current Employees"/>
    <x v="5"/>
    <x v="1"/>
    <s v="STAFF-119"/>
    <n v="119"/>
    <x v="0"/>
    <x v="5"/>
    <x v="1"/>
    <s v="No"/>
    <n v="25"/>
    <n v="159862"/>
    <n v="1"/>
    <n v="1"/>
    <n v="30"/>
    <n v="2"/>
    <n v="2"/>
    <n v="4"/>
    <n v="3"/>
    <n v="25"/>
    <x v="4"/>
    <m/>
  </r>
  <r>
    <x v="0"/>
    <s v="Travel_Frequently"/>
    <x v="3"/>
    <s v="Current Employees"/>
    <x v="5"/>
    <x v="2"/>
    <s v="STAFF-120"/>
    <n v="120"/>
    <x v="1"/>
    <x v="9"/>
    <x v="1"/>
    <s v="No"/>
    <n v="26"/>
    <n v="159374"/>
    <n v="2"/>
    <n v="3"/>
    <n v="7"/>
    <n v="11"/>
    <n v="4"/>
    <n v="4"/>
    <n v="3"/>
    <n v="24"/>
    <x v="4"/>
    <m/>
  </r>
  <r>
    <x v="0"/>
    <s v="Travel_Frequently"/>
    <x v="4"/>
    <s v="Current Employees"/>
    <x v="0"/>
    <x v="3"/>
    <s v="STAFF-121"/>
    <n v="121"/>
    <x v="1"/>
    <x v="4"/>
    <x v="1"/>
    <s v="Yes"/>
    <n v="36"/>
    <n v="138750"/>
    <n v="3"/>
    <n v="2"/>
    <n v="17"/>
    <n v="12"/>
    <n v="5"/>
    <n v="1"/>
    <n v="3"/>
    <n v="26"/>
    <x v="2"/>
    <m/>
  </r>
  <r>
    <x v="0"/>
    <s v="Travel_Rarely"/>
    <x v="4"/>
    <s v="Current Employees"/>
    <x v="4"/>
    <x v="0"/>
    <s v="STAFF-122"/>
    <n v="122"/>
    <x v="0"/>
    <x v="0"/>
    <x v="0"/>
    <s v="Yes"/>
    <n v="49"/>
    <n v="174705"/>
    <n v="1"/>
    <n v="2"/>
    <n v="2"/>
    <n v="25"/>
    <n v="3"/>
    <n v="2"/>
    <n v="3"/>
    <n v="25"/>
    <x v="1"/>
    <m/>
  </r>
  <r>
    <x v="0"/>
    <s v="Non-Travel"/>
    <x v="3"/>
    <s v="Current Employees"/>
    <x v="3"/>
    <x v="1"/>
    <s v="STAFF-123"/>
    <n v="123"/>
    <x v="1"/>
    <x v="2"/>
    <x v="0"/>
    <s v="No"/>
    <n v="36"/>
    <n v="97105"/>
    <n v="2"/>
    <n v="2"/>
    <n v="26"/>
    <n v="19"/>
    <n v="2"/>
    <n v="1"/>
    <n v="3"/>
    <n v="21"/>
    <x v="2"/>
    <m/>
  </r>
  <r>
    <x v="0"/>
    <s v="Non-Travel"/>
    <x v="0"/>
    <s v="Current Employees"/>
    <x v="0"/>
    <x v="3"/>
    <s v="STAFF-124"/>
    <n v="124"/>
    <x v="1"/>
    <x v="4"/>
    <x v="1"/>
    <s v="No"/>
    <n v="47"/>
    <n v="57116"/>
    <n v="3"/>
    <n v="4"/>
    <n v="11"/>
    <n v="34"/>
    <n v="3"/>
    <n v="2"/>
    <n v="3"/>
    <n v="10"/>
    <x v="4"/>
    <m/>
  </r>
  <r>
    <x v="0"/>
    <s v="Travel_Frequently"/>
    <x v="4"/>
    <s v="Current Employees"/>
    <x v="2"/>
    <x v="5"/>
    <s v="STAFF-125"/>
    <n v="125"/>
    <x v="0"/>
    <x v="7"/>
    <x v="2"/>
    <s v="No"/>
    <n v="34"/>
    <n v="104576"/>
    <n v="1"/>
    <n v="4"/>
    <n v="23"/>
    <n v="5"/>
    <n v="4"/>
    <n v="2"/>
    <n v="3"/>
    <n v="9"/>
    <x v="2"/>
    <m/>
  </r>
  <r>
    <x v="0"/>
    <s v="Travel_Rarely"/>
    <x v="2"/>
    <s v="Current Employees"/>
    <x v="4"/>
    <x v="1"/>
    <s v="STAFF-126"/>
    <n v="126"/>
    <x v="0"/>
    <x v="9"/>
    <x v="2"/>
    <s v="No"/>
    <n v="40"/>
    <n v="22019"/>
    <n v="2"/>
    <n v="2"/>
    <n v="7"/>
    <n v="30"/>
    <n v="1"/>
    <n v="2"/>
    <n v="4"/>
    <n v="30"/>
    <x v="4"/>
    <m/>
  </r>
  <r>
    <x v="0"/>
    <s v="Travel_Frequently"/>
    <x v="4"/>
    <s v="Current Employees"/>
    <x v="1"/>
    <x v="1"/>
    <s v="STAFF-127"/>
    <n v="127"/>
    <x v="1"/>
    <x v="8"/>
    <x v="1"/>
    <s v="No"/>
    <n v="53"/>
    <n v="148358"/>
    <n v="4"/>
    <n v="1"/>
    <n v="30"/>
    <n v="20"/>
    <n v="1"/>
    <n v="3"/>
    <n v="4"/>
    <n v="14"/>
    <x v="1"/>
    <m/>
  </r>
  <r>
    <x v="0"/>
    <s v="Travel_Rarely"/>
    <x v="1"/>
    <s v="Current Employees"/>
    <x v="3"/>
    <x v="2"/>
    <s v="STAFF-128"/>
    <n v="128"/>
    <x v="1"/>
    <x v="8"/>
    <x v="2"/>
    <s v="Yes"/>
    <n v="42"/>
    <n v="78298"/>
    <n v="4"/>
    <n v="2"/>
    <n v="31"/>
    <n v="35"/>
    <n v="5"/>
    <n v="3"/>
    <n v="4"/>
    <n v="25"/>
    <x v="2"/>
    <m/>
  </r>
  <r>
    <x v="1"/>
    <s v="Travel_Frequently"/>
    <x v="2"/>
    <s v="Ex-Employees"/>
    <x v="1"/>
    <x v="0"/>
    <s v="STAFF-129"/>
    <n v="129"/>
    <x v="1"/>
    <x v="6"/>
    <x v="2"/>
    <s v="No"/>
    <n v="32"/>
    <n v="160117"/>
    <n v="1"/>
    <n v="1"/>
    <n v="4"/>
    <n v="42"/>
    <n v="0"/>
    <n v="1"/>
    <n v="4"/>
    <n v="5"/>
    <x v="4"/>
    <m/>
  </r>
  <r>
    <x v="0"/>
    <s v="Non-Travel"/>
    <x v="1"/>
    <s v="Current Employees"/>
    <x v="3"/>
    <x v="5"/>
    <s v="STAFF-130"/>
    <n v="130"/>
    <x v="1"/>
    <x v="5"/>
    <x v="0"/>
    <s v="No"/>
    <n v="52"/>
    <n v="22123"/>
    <n v="1"/>
    <n v="4"/>
    <n v="0"/>
    <n v="1"/>
    <n v="4"/>
    <n v="3"/>
    <n v="4"/>
    <n v="1"/>
    <x v="0"/>
    <m/>
  </r>
  <r>
    <x v="0"/>
    <s v="Travel_Rarely"/>
    <x v="2"/>
    <s v="Current Employees"/>
    <x v="3"/>
    <x v="4"/>
    <s v="STAFF-131"/>
    <n v="131"/>
    <x v="0"/>
    <x v="3"/>
    <x v="2"/>
    <s v="No"/>
    <n v="43"/>
    <n v="88077"/>
    <n v="4"/>
    <n v="1"/>
    <n v="23"/>
    <n v="25"/>
    <n v="3"/>
    <n v="2"/>
    <n v="3"/>
    <n v="10"/>
    <x v="1"/>
    <m/>
  </r>
  <r>
    <x v="0"/>
    <s v="Travel_Rarely"/>
    <x v="4"/>
    <s v="Current Employees"/>
    <x v="4"/>
    <x v="5"/>
    <s v="STAFF-132"/>
    <n v="132"/>
    <x v="1"/>
    <x v="7"/>
    <x v="0"/>
    <s v="No"/>
    <n v="24"/>
    <n v="20477"/>
    <n v="2"/>
    <n v="1"/>
    <n v="31"/>
    <n v="27"/>
    <n v="5"/>
    <n v="3"/>
    <n v="3"/>
    <n v="29"/>
    <x v="0"/>
    <m/>
  </r>
  <r>
    <x v="1"/>
    <s v="Non-Travel"/>
    <x v="1"/>
    <s v="Ex-Employees"/>
    <x v="5"/>
    <x v="5"/>
    <s v="STAFF-133"/>
    <n v="133"/>
    <x v="1"/>
    <x v="5"/>
    <x v="2"/>
    <s v="No"/>
    <n v="55"/>
    <n v="165720"/>
    <n v="1"/>
    <n v="2"/>
    <n v="20"/>
    <n v="1"/>
    <n v="1"/>
    <n v="2"/>
    <n v="4"/>
    <n v="30"/>
    <x v="1"/>
    <m/>
  </r>
  <r>
    <x v="0"/>
    <s v="Travel_Frequently"/>
    <x v="2"/>
    <s v="Current Employees"/>
    <x v="2"/>
    <x v="3"/>
    <s v="STAFF-134"/>
    <n v="134"/>
    <x v="1"/>
    <x v="7"/>
    <x v="0"/>
    <s v="Yes"/>
    <n v="26"/>
    <n v="149279"/>
    <n v="3"/>
    <n v="1"/>
    <n v="6"/>
    <n v="27"/>
    <n v="1"/>
    <n v="1"/>
    <n v="4"/>
    <n v="20"/>
    <x v="0"/>
    <m/>
  </r>
  <r>
    <x v="1"/>
    <s v="Travel_Rarely"/>
    <x v="1"/>
    <s v="Ex-Employees"/>
    <x v="0"/>
    <x v="3"/>
    <s v="STAFF-135"/>
    <n v="135"/>
    <x v="1"/>
    <x v="9"/>
    <x v="1"/>
    <s v="Yes"/>
    <n v="43"/>
    <n v="162975"/>
    <n v="4"/>
    <n v="4"/>
    <n v="11"/>
    <n v="37"/>
    <n v="5"/>
    <n v="4"/>
    <n v="3"/>
    <n v="25"/>
    <x v="0"/>
    <m/>
  </r>
  <r>
    <x v="0"/>
    <s v="Travel_Rarely"/>
    <x v="1"/>
    <s v="Current Employees"/>
    <x v="4"/>
    <x v="2"/>
    <s v="STAFF-136"/>
    <n v="136"/>
    <x v="0"/>
    <x v="7"/>
    <x v="0"/>
    <s v="Yes"/>
    <n v="45"/>
    <n v="101015"/>
    <n v="3"/>
    <n v="1"/>
    <n v="5"/>
    <n v="0"/>
    <n v="2"/>
    <n v="4"/>
    <n v="4"/>
    <n v="25"/>
    <x v="3"/>
    <m/>
  </r>
  <r>
    <x v="0"/>
    <s v="Travel_Frequently"/>
    <x v="0"/>
    <s v="Current Employees"/>
    <x v="1"/>
    <x v="1"/>
    <s v="STAFF-137"/>
    <n v="137"/>
    <x v="1"/>
    <x v="0"/>
    <x v="2"/>
    <s v="Yes"/>
    <n v="43"/>
    <n v="163285"/>
    <n v="1"/>
    <n v="3"/>
    <n v="24"/>
    <n v="0"/>
    <n v="2"/>
    <n v="4"/>
    <n v="4"/>
    <n v="25"/>
    <x v="1"/>
    <m/>
  </r>
  <r>
    <x v="0"/>
    <s v="Non-Travel"/>
    <x v="2"/>
    <s v="Current Employees"/>
    <x v="3"/>
    <x v="1"/>
    <s v="STAFF-138"/>
    <n v="138"/>
    <x v="0"/>
    <x v="7"/>
    <x v="2"/>
    <s v="Yes"/>
    <n v="38"/>
    <n v="96939"/>
    <n v="3"/>
    <n v="4"/>
    <n v="9"/>
    <n v="4"/>
    <n v="1"/>
    <n v="4"/>
    <n v="4"/>
    <n v="14"/>
    <x v="3"/>
    <m/>
  </r>
  <r>
    <x v="0"/>
    <s v="Travel_Rarely"/>
    <x v="0"/>
    <s v="Current Employees"/>
    <x v="0"/>
    <x v="3"/>
    <s v="STAFF-139"/>
    <n v="139"/>
    <x v="1"/>
    <x v="2"/>
    <x v="0"/>
    <s v="Yes"/>
    <n v="50"/>
    <n v="46042"/>
    <n v="2"/>
    <n v="3"/>
    <n v="0"/>
    <n v="25"/>
    <n v="2"/>
    <n v="4"/>
    <n v="4"/>
    <n v="15"/>
    <x v="3"/>
    <m/>
  </r>
  <r>
    <x v="0"/>
    <s v="Non-Travel"/>
    <x v="4"/>
    <s v="Current Employees"/>
    <x v="5"/>
    <x v="0"/>
    <s v="STAFF-140"/>
    <n v="140"/>
    <x v="1"/>
    <x v="1"/>
    <x v="0"/>
    <s v="Yes"/>
    <n v="51"/>
    <n v="100361"/>
    <n v="2"/>
    <n v="4"/>
    <n v="20"/>
    <n v="18"/>
    <n v="5"/>
    <n v="4"/>
    <n v="3"/>
    <n v="11"/>
    <x v="2"/>
    <m/>
  </r>
  <r>
    <x v="0"/>
    <s v="Travel_Rarely"/>
    <x v="4"/>
    <s v="Current Employees"/>
    <x v="0"/>
    <x v="1"/>
    <s v="STAFF-141"/>
    <n v="141"/>
    <x v="0"/>
    <x v="2"/>
    <x v="0"/>
    <s v="Yes"/>
    <n v="56"/>
    <n v="25055"/>
    <n v="4"/>
    <n v="2"/>
    <n v="28"/>
    <n v="18"/>
    <n v="6"/>
    <n v="1"/>
    <n v="4"/>
    <n v="22"/>
    <x v="2"/>
    <m/>
  </r>
  <r>
    <x v="0"/>
    <s v="Non-Travel"/>
    <x v="1"/>
    <s v="Current Employees"/>
    <x v="0"/>
    <x v="0"/>
    <s v="STAFF-142"/>
    <n v="142"/>
    <x v="1"/>
    <x v="7"/>
    <x v="2"/>
    <s v="No"/>
    <n v="59"/>
    <n v="143628"/>
    <n v="4"/>
    <n v="4"/>
    <n v="34"/>
    <n v="2"/>
    <n v="6"/>
    <n v="3"/>
    <n v="3"/>
    <n v="4"/>
    <x v="4"/>
    <m/>
  </r>
  <r>
    <x v="0"/>
    <s v="Non-Travel"/>
    <x v="1"/>
    <s v="Current Employees"/>
    <x v="5"/>
    <x v="4"/>
    <s v="STAFF-143"/>
    <n v="143"/>
    <x v="1"/>
    <x v="1"/>
    <x v="1"/>
    <s v="Yes"/>
    <n v="21"/>
    <n v="43849"/>
    <n v="3"/>
    <n v="2"/>
    <n v="32"/>
    <n v="33"/>
    <n v="4"/>
    <n v="2"/>
    <n v="4"/>
    <n v="12"/>
    <x v="2"/>
    <m/>
  </r>
  <r>
    <x v="0"/>
    <s v="Non-Travel"/>
    <x v="2"/>
    <s v="Current Employees"/>
    <x v="5"/>
    <x v="0"/>
    <s v="STAFF-144"/>
    <n v="144"/>
    <x v="1"/>
    <x v="5"/>
    <x v="1"/>
    <s v="Yes"/>
    <n v="39"/>
    <n v="127045"/>
    <n v="1"/>
    <n v="1"/>
    <n v="9"/>
    <n v="22"/>
    <n v="2"/>
    <n v="3"/>
    <n v="4"/>
    <n v="26"/>
    <x v="4"/>
    <m/>
  </r>
  <r>
    <x v="0"/>
    <s v="Travel_Frequently"/>
    <x v="1"/>
    <s v="Current Employees"/>
    <x v="4"/>
    <x v="3"/>
    <s v="STAFF-145"/>
    <n v="145"/>
    <x v="1"/>
    <x v="1"/>
    <x v="2"/>
    <s v="No"/>
    <n v="23"/>
    <n v="48168"/>
    <n v="1"/>
    <n v="3"/>
    <n v="6"/>
    <n v="10"/>
    <n v="5"/>
    <n v="2"/>
    <n v="3"/>
    <n v="18"/>
    <x v="4"/>
    <m/>
  </r>
  <r>
    <x v="0"/>
    <s v="Travel_Rarely"/>
    <x v="1"/>
    <s v="Current Employees"/>
    <x v="1"/>
    <x v="5"/>
    <s v="STAFF-146"/>
    <n v="146"/>
    <x v="0"/>
    <x v="6"/>
    <x v="0"/>
    <s v="No"/>
    <n v="46"/>
    <n v="25652"/>
    <n v="2"/>
    <n v="4"/>
    <n v="37"/>
    <n v="27"/>
    <n v="3"/>
    <n v="1"/>
    <n v="3"/>
    <n v="7"/>
    <x v="3"/>
    <m/>
  </r>
  <r>
    <x v="0"/>
    <s v="Non-Travel"/>
    <x v="4"/>
    <s v="Current Employees"/>
    <x v="4"/>
    <x v="4"/>
    <s v="STAFF-147"/>
    <n v="147"/>
    <x v="0"/>
    <x v="1"/>
    <x v="1"/>
    <s v="Yes"/>
    <n v="50"/>
    <n v="47872"/>
    <n v="3"/>
    <n v="4"/>
    <n v="33"/>
    <n v="40"/>
    <n v="2"/>
    <n v="4"/>
    <n v="4"/>
    <n v="19"/>
    <x v="1"/>
    <m/>
  </r>
  <r>
    <x v="0"/>
    <s v="Travel_Rarely"/>
    <x v="4"/>
    <s v="Current Employees"/>
    <x v="2"/>
    <x v="3"/>
    <s v="STAFF-148"/>
    <n v="148"/>
    <x v="1"/>
    <x v="2"/>
    <x v="0"/>
    <s v="Yes"/>
    <n v="29"/>
    <n v="100099"/>
    <n v="1"/>
    <n v="2"/>
    <n v="19"/>
    <n v="7"/>
    <n v="1"/>
    <n v="3"/>
    <n v="3"/>
    <n v="17"/>
    <x v="2"/>
    <m/>
  </r>
  <r>
    <x v="0"/>
    <s v="Travel_Frequently"/>
    <x v="1"/>
    <s v="Current Employees"/>
    <x v="1"/>
    <x v="0"/>
    <s v="STAFF-149"/>
    <n v="149"/>
    <x v="1"/>
    <x v="4"/>
    <x v="0"/>
    <s v="Yes"/>
    <n v="56"/>
    <n v="61742"/>
    <n v="4"/>
    <n v="3"/>
    <n v="8"/>
    <n v="11"/>
    <n v="2"/>
    <n v="4"/>
    <n v="3"/>
    <n v="28"/>
    <x v="3"/>
    <m/>
  </r>
  <r>
    <x v="1"/>
    <s v="Travel_Frequently"/>
    <x v="2"/>
    <s v="Ex-Employees"/>
    <x v="3"/>
    <x v="1"/>
    <s v="STAFF-150"/>
    <n v="150"/>
    <x v="1"/>
    <x v="7"/>
    <x v="0"/>
    <s v="No"/>
    <n v="47"/>
    <n v="134353"/>
    <n v="4"/>
    <n v="2"/>
    <n v="5"/>
    <n v="36"/>
    <n v="0"/>
    <n v="2"/>
    <n v="4"/>
    <n v="2"/>
    <x v="3"/>
    <m/>
  </r>
  <r>
    <x v="0"/>
    <s v="Non-Travel"/>
    <x v="1"/>
    <s v="Current Employees"/>
    <x v="1"/>
    <x v="3"/>
    <s v="STAFF-151"/>
    <n v="151"/>
    <x v="1"/>
    <x v="4"/>
    <x v="0"/>
    <s v="Yes"/>
    <n v="57"/>
    <n v="47938"/>
    <n v="3"/>
    <n v="3"/>
    <n v="34"/>
    <n v="2"/>
    <n v="6"/>
    <n v="4"/>
    <n v="3"/>
    <n v="14"/>
    <x v="1"/>
    <m/>
  </r>
  <r>
    <x v="0"/>
    <s v="Travel_Frequently"/>
    <x v="2"/>
    <s v="Current Employees"/>
    <x v="3"/>
    <x v="4"/>
    <s v="STAFF-152"/>
    <n v="152"/>
    <x v="1"/>
    <x v="8"/>
    <x v="1"/>
    <s v="Yes"/>
    <n v="49"/>
    <n v="48772"/>
    <n v="2"/>
    <n v="2"/>
    <n v="37"/>
    <n v="22"/>
    <n v="6"/>
    <n v="4"/>
    <n v="3"/>
    <n v="20"/>
    <x v="4"/>
    <m/>
  </r>
  <r>
    <x v="0"/>
    <s v="Non-Travel"/>
    <x v="4"/>
    <s v="Current Employees"/>
    <x v="4"/>
    <x v="2"/>
    <s v="STAFF-153"/>
    <n v="153"/>
    <x v="1"/>
    <x v="2"/>
    <x v="0"/>
    <s v="Yes"/>
    <n v="41"/>
    <n v="94712"/>
    <n v="3"/>
    <n v="3"/>
    <n v="32"/>
    <n v="6"/>
    <n v="1"/>
    <n v="4"/>
    <n v="3"/>
    <n v="9"/>
    <x v="4"/>
    <m/>
  </r>
  <r>
    <x v="0"/>
    <s v="Non-Travel"/>
    <x v="1"/>
    <s v="Current Employees"/>
    <x v="3"/>
    <x v="2"/>
    <s v="STAFF-154"/>
    <n v="154"/>
    <x v="0"/>
    <x v="7"/>
    <x v="1"/>
    <s v="Yes"/>
    <n v="57"/>
    <n v="88442"/>
    <n v="4"/>
    <n v="4"/>
    <n v="28"/>
    <n v="4"/>
    <n v="5"/>
    <n v="1"/>
    <n v="4"/>
    <n v="17"/>
    <x v="3"/>
    <m/>
  </r>
  <r>
    <x v="0"/>
    <s v="Travel_Frequently"/>
    <x v="4"/>
    <s v="Current Employees"/>
    <x v="1"/>
    <x v="2"/>
    <s v="STAFF-155"/>
    <n v="155"/>
    <x v="0"/>
    <x v="0"/>
    <x v="0"/>
    <s v="No"/>
    <n v="43"/>
    <n v="34601"/>
    <n v="4"/>
    <n v="2"/>
    <n v="27"/>
    <n v="13"/>
    <n v="3"/>
    <n v="3"/>
    <n v="4"/>
    <n v="27"/>
    <x v="3"/>
    <m/>
  </r>
  <r>
    <x v="0"/>
    <s v="Travel_Frequently"/>
    <x v="2"/>
    <s v="Current Employees"/>
    <x v="2"/>
    <x v="2"/>
    <s v="STAFF-156"/>
    <n v="156"/>
    <x v="0"/>
    <x v="5"/>
    <x v="2"/>
    <s v="No"/>
    <n v="22"/>
    <n v="50568"/>
    <n v="2"/>
    <n v="4"/>
    <n v="29"/>
    <n v="0"/>
    <n v="3"/>
    <n v="2"/>
    <n v="3"/>
    <n v="29"/>
    <x v="3"/>
    <m/>
  </r>
  <r>
    <x v="0"/>
    <s v="Travel_Rarely"/>
    <x v="4"/>
    <s v="Current Employees"/>
    <x v="0"/>
    <x v="3"/>
    <s v="STAFF-157"/>
    <n v="157"/>
    <x v="1"/>
    <x v="8"/>
    <x v="2"/>
    <s v="No"/>
    <n v="31"/>
    <n v="31575"/>
    <n v="4"/>
    <n v="3"/>
    <n v="14"/>
    <n v="27"/>
    <n v="5"/>
    <n v="1"/>
    <n v="3"/>
    <n v="1"/>
    <x v="4"/>
    <m/>
  </r>
  <r>
    <x v="0"/>
    <s v="Non-Travel"/>
    <x v="1"/>
    <s v="Current Employees"/>
    <x v="3"/>
    <x v="3"/>
    <s v="STAFF-158"/>
    <n v="158"/>
    <x v="1"/>
    <x v="5"/>
    <x v="2"/>
    <s v="No"/>
    <n v="28"/>
    <n v="128707"/>
    <n v="2"/>
    <n v="4"/>
    <n v="4"/>
    <n v="14"/>
    <n v="3"/>
    <n v="1"/>
    <n v="3"/>
    <n v="4"/>
    <x v="3"/>
    <m/>
  </r>
  <r>
    <x v="0"/>
    <s v="Travel_Rarely"/>
    <x v="1"/>
    <s v="Current Employees"/>
    <x v="1"/>
    <x v="3"/>
    <s v="STAFF-159"/>
    <n v="159"/>
    <x v="0"/>
    <x v="0"/>
    <x v="0"/>
    <s v="Yes"/>
    <n v="60"/>
    <n v="61022"/>
    <n v="4"/>
    <n v="3"/>
    <n v="13"/>
    <n v="40"/>
    <n v="5"/>
    <n v="2"/>
    <n v="4"/>
    <n v="20"/>
    <x v="2"/>
    <m/>
  </r>
  <r>
    <x v="1"/>
    <s v="Travel_Rarely"/>
    <x v="0"/>
    <s v="Ex-Employees"/>
    <x v="4"/>
    <x v="4"/>
    <s v="STAFF-160"/>
    <n v="160"/>
    <x v="1"/>
    <x v="1"/>
    <x v="1"/>
    <s v="No"/>
    <n v="29"/>
    <n v="82955"/>
    <n v="3"/>
    <n v="1"/>
    <n v="15"/>
    <n v="35"/>
    <n v="4"/>
    <n v="3"/>
    <n v="3"/>
    <n v="28"/>
    <x v="3"/>
    <m/>
  </r>
  <r>
    <x v="0"/>
    <s v="Non-Travel"/>
    <x v="2"/>
    <s v="Current Employees"/>
    <x v="3"/>
    <x v="5"/>
    <s v="STAFF-161"/>
    <n v="161"/>
    <x v="1"/>
    <x v="5"/>
    <x v="2"/>
    <s v="No"/>
    <n v="45"/>
    <n v="47555"/>
    <n v="2"/>
    <n v="4"/>
    <n v="40"/>
    <n v="38"/>
    <n v="0"/>
    <n v="1"/>
    <n v="4"/>
    <n v="30"/>
    <x v="3"/>
    <m/>
  </r>
  <r>
    <x v="0"/>
    <s v="Travel_Frequently"/>
    <x v="4"/>
    <s v="Current Employees"/>
    <x v="2"/>
    <x v="2"/>
    <s v="STAFF-162"/>
    <n v="162"/>
    <x v="0"/>
    <x v="9"/>
    <x v="2"/>
    <s v="Yes"/>
    <n v="58"/>
    <n v="35703"/>
    <n v="1"/>
    <n v="3"/>
    <n v="13"/>
    <n v="2"/>
    <n v="0"/>
    <n v="4"/>
    <n v="4"/>
    <n v="21"/>
    <x v="0"/>
    <m/>
  </r>
  <r>
    <x v="0"/>
    <s v="Travel_Rarely"/>
    <x v="1"/>
    <s v="Current Employees"/>
    <x v="1"/>
    <x v="3"/>
    <s v="STAFF-163"/>
    <n v="163"/>
    <x v="0"/>
    <x v="8"/>
    <x v="2"/>
    <s v="No"/>
    <n v="26"/>
    <n v="152035"/>
    <n v="2"/>
    <n v="2"/>
    <n v="34"/>
    <n v="20"/>
    <n v="3"/>
    <n v="1"/>
    <n v="4"/>
    <n v="23"/>
    <x v="2"/>
    <m/>
  </r>
  <r>
    <x v="0"/>
    <s v="Travel_Rarely"/>
    <x v="4"/>
    <s v="Current Employees"/>
    <x v="4"/>
    <x v="4"/>
    <s v="STAFF-164"/>
    <n v="164"/>
    <x v="1"/>
    <x v="0"/>
    <x v="1"/>
    <s v="Yes"/>
    <n v="40"/>
    <n v="64044"/>
    <n v="1"/>
    <n v="1"/>
    <n v="8"/>
    <n v="0"/>
    <n v="1"/>
    <n v="4"/>
    <n v="4"/>
    <n v="17"/>
    <x v="0"/>
    <m/>
  </r>
  <r>
    <x v="0"/>
    <s v="Travel_Frequently"/>
    <x v="2"/>
    <s v="Current Employees"/>
    <x v="3"/>
    <x v="0"/>
    <s v="STAFF-165"/>
    <n v="165"/>
    <x v="1"/>
    <x v="0"/>
    <x v="2"/>
    <s v="No"/>
    <n v="48"/>
    <n v="89298"/>
    <n v="1"/>
    <n v="3"/>
    <n v="36"/>
    <n v="40"/>
    <n v="0"/>
    <n v="4"/>
    <n v="4"/>
    <n v="17"/>
    <x v="3"/>
    <m/>
  </r>
  <r>
    <x v="0"/>
    <s v="Travel_Frequently"/>
    <x v="4"/>
    <s v="Current Employees"/>
    <x v="3"/>
    <x v="0"/>
    <s v="STAFF-166"/>
    <n v="166"/>
    <x v="1"/>
    <x v="0"/>
    <x v="0"/>
    <s v="Yes"/>
    <n v="35"/>
    <n v="151385"/>
    <n v="1"/>
    <n v="1"/>
    <n v="0"/>
    <n v="15"/>
    <n v="0"/>
    <n v="4"/>
    <n v="4"/>
    <n v="13"/>
    <x v="4"/>
    <m/>
  </r>
  <r>
    <x v="0"/>
    <s v="Non-Travel"/>
    <x v="3"/>
    <s v="Current Employees"/>
    <x v="4"/>
    <x v="3"/>
    <s v="STAFF-167"/>
    <n v="167"/>
    <x v="1"/>
    <x v="3"/>
    <x v="1"/>
    <s v="Yes"/>
    <n v="47"/>
    <n v="101869"/>
    <n v="3"/>
    <n v="1"/>
    <n v="36"/>
    <n v="23"/>
    <n v="0"/>
    <n v="1"/>
    <n v="3"/>
    <n v="8"/>
    <x v="0"/>
    <m/>
  </r>
  <r>
    <x v="1"/>
    <s v="Travel_Frequently"/>
    <x v="3"/>
    <s v="Ex-Employees"/>
    <x v="4"/>
    <x v="2"/>
    <s v="STAFF-168"/>
    <n v="168"/>
    <x v="1"/>
    <x v="1"/>
    <x v="2"/>
    <s v="No"/>
    <n v="21"/>
    <n v="114709"/>
    <n v="2"/>
    <n v="3"/>
    <n v="36"/>
    <n v="19"/>
    <n v="5"/>
    <n v="2"/>
    <n v="4"/>
    <n v="12"/>
    <x v="0"/>
    <m/>
  </r>
  <r>
    <x v="1"/>
    <s v="Non-Travel"/>
    <x v="3"/>
    <s v="Ex-Employees"/>
    <x v="3"/>
    <x v="1"/>
    <s v="STAFF-169"/>
    <n v="169"/>
    <x v="0"/>
    <x v="6"/>
    <x v="2"/>
    <s v="No"/>
    <n v="22"/>
    <n v="79078"/>
    <n v="3"/>
    <n v="1"/>
    <n v="21"/>
    <n v="0"/>
    <n v="6"/>
    <n v="4"/>
    <n v="4"/>
    <n v="4"/>
    <x v="4"/>
    <m/>
  </r>
  <r>
    <x v="0"/>
    <s v="Travel_Rarely"/>
    <x v="1"/>
    <s v="Current Employees"/>
    <x v="1"/>
    <x v="0"/>
    <s v="STAFF-170"/>
    <n v="170"/>
    <x v="1"/>
    <x v="0"/>
    <x v="2"/>
    <s v="Yes"/>
    <n v="54"/>
    <n v="126280"/>
    <n v="3"/>
    <n v="4"/>
    <n v="5"/>
    <n v="37"/>
    <n v="0"/>
    <n v="2"/>
    <n v="4"/>
    <n v="3"/>
    <x v="0"/>
    <m/>
  </r>
  <r>
    <x v="0"/>
    <s v="Travel_Rarely"/>
    <x v="1"/>
    <s v="Current Employees"/>
    <x v="3"/>
    <x v="2"/>
    <s v="STAFF-171"/>
    <n v="171"/>
    <x v="1"/>
    <x v="1"/>
    <x v="1"/>
    <s v="No"/>
    <n v="41"/>
    <n v="136687"/>
    <n v="3"/>
    <n v="2"/>
    <n v="4"/>
    <n v="12"/>
    <n v="1"/>
    <n v="1"/>
    <n v="3"/>
    <n v="4"/>
    <x v="4"/>
    <m/>
  </r>
  <r>
    <x v="0"/>
    <s v="Non-Travel"/>
    <x v="1"/>
    <s v="Current Employees"/>
    <x v="4"/>
    <x v="2"/>
    <s v="STAFF-172"/>
    <n v="172"/>
    <x v="0"/>
    <x v="9"/>
    <x v="1"/>
    <s v="No"/>
    <n v="37"/>
    <n v="49434"/>
    <n v="1"/>
    <n v="2"/>
    <n v="19"/>
    <n v="38"/>
    <n v="0"/>
    <n v="2"/>
    <n v="4"/>
    <n v="5"/>
    <x v="1"/>
    <m/>
  </r>
  <r>
    <x v="0"/>
    <s v="Non-Travel"/>
    <x v="3"/>
    <s v="Current Employees"/>
    <x v="1"/>
    <x v="4"/>
    <s v="STAFF-173"/>
    <n v="173"/>
    <x v="1"/>
    <x v="8"/>
    <x v="2"/>
    <s v="Yes"/>
    <n v="46"/>
    <n v="136541"/>
    <n v="2"/>
    <n v="1"/>
    <n v="29"/>
    <n v="6"/>
    <n v="6"/>
    <n v="2"/>
    <n v="3"/>
    <n v="1"/>
    <x v="1"/>
    <m/>
  </r>
  <r>
    <x v="0"/>
    <s v="Travel_Rarely"/>
    <x v="3"/>
    <s v="Current Employees"/>
    <x v="3"/>
    <x v="5"/>
    <s v="STAFF-174"/>
    <n v="174"/>
    <x v="1"/>
    <x v="0"/>
    <x v="0"/>
    <s v="No"/>
    <n v="25"/>
    <n v="23714"/>
    <n v="1"/>
    <n v="2"/>
    <n v="28"/>
    <n v="8"/>
    <n v="0"/>
    <n v="3"/>
    <n v="3"/>
    <n v="2"/>
    <x v="2"/>
    <m/>
  </r>
  <r>
    <x v="0"/>
    <s v="Non-Travel"/>
    <x v="4"/>
    <s v="Current Employees"/>
    <x v="1"/>
    <x v="5"/>
    <s v="STAFF-175"/>
    <n v="175"/>
    <x v="1"/>
    <x v="5"/>
    <x v="1"/>
    <s v="No"/>
    <n v="32"/>
    <n v="110784"/>
    <n v="2"/>
    <n v="2"/>
    <n v="17"/>
    <n v="17"/>
    <n v="3"/>
    <n v="2"/>
    <n v="3"/>
    <n v="20"/>
    <x v="0"/>
    <m/>
  </r>
  <r>
    <x v="0"/>
    <s v="Travel_Frequently"/>
    <x v="2"/>
    <s v="Current Employees"/>
    <x v="1"/>
    <x v="1"/>
    <s v="STAFF-176"/>
    <n v="176"/>
    <x v="1"/>
    <x v="5"/>
    <x v="2"/>
    <s v="No"/>
    <n v="45"/>
    <n v="53975"/>
    <n v="4"/>
    <n v="2"/>
    <n v="33"/>
    <n v="15"/>
    <n v="5"/>
    <n v="1"/>
    <n v="4"/>
    <n v="26"/>
    <x v="3"/>
    <m/>
  </r>
  <r>
    <x v="0"/>
    <s v="Non-Travel"/>
    <x v="4"/>
    <s v="Current Employees"/>
    <x v="0"/>
    <x v="1"/>
    <s v="STAFF-177"/>
    <n v="177"/>
    <x v="1"/>
    <x v="7"/>
    <x v="1"/>
    <s v="Yes"/>
    <n v="22"/>
    <n v="101591"/>
    <n v="2"/>
    <n v="1"/>
    <n v="17"/>
    <n v="3"/>
    <n v="6"/>
    <n v="4"/>
    <n v="4"/>
    <n v="25"/>
    <x v="0"/>
    <m/>
  </r>
  <r>
    <x v="1"/>
    <s v="Travel_Rarely"/>
    <x v="3"/>
    <s v="Ex-Employees"/>
    <x v="4"/>
    <x v="3"/>
    <s v="STAFF-178"/>
    <n v="178"/>
    <x v="0"/>
    <x v="8"/>
    <x v="0"/>
    <s v="Yes"/>
    <n v="35"/>
    <n v="168914"/>
    <n v="4"/>
    <n v="3"/>
    <n v="11"/>
    <n v="11"/>
    <n v="1"/>
    <n v="3"/>
    <n v="4"/>
    <n v="30"/>
    <x v="0"/>
    <m/>
  </r>
  <r>
    <x v="0"/>
    <s v="Non-Travel"/>
    <x v="2"/>
    <s v="Current Employees"/>
    <x v="2"/>
    <x v="0"/>
    <s v="STAFF-179"/>
    <n v="179"/>
    <x v="0"/>
    <x v="9"/>
    <x v="0"/>
    <s v="No"/>
    <n v="32"/>
    <n v="146564"/>
    <n v="1"/>
    <n v="1"/>
    <n v="3"/>
    <n v="14"/>
    <n v="4"/>
    <n v="2"/>
    <n v="3"/>
    <n v="17"/>
    <x v="2"/>
    <m/>
  </r>
  <r>
    <x v="0"/>
    <s v="Travel_Rarely"/>
    <x v="4"/>
    <s v="Current Employees"/>
    <x v="3"/>
    <x v="2"/>
    <s v="STAFF-180"/>
    <n v="180"/>
    <x v="0"/>
    <x v="1"/>
    <x v="2"/>
    <s v="Yes"/>
    <n v="30"/>
    <n v="171776"/>
    <n v="2"/>
    <n v="1"/>
    <n v="33"/>
    <n v="23"/>
    <n v="0"/>
    <n v="3"/>
    <n v="4"/>
    <n v="19"/>
    <x v="1"/>
    <m/>
  </r>
  <r>
    <x v="0"/>
    <s v="Non-Travel"/>
    <x v="1"/>
    <s v="Current Employees"/>
    <x v="3"/>
    <x v="5"/>
    <s v="STAFF-181"/>
    <n v="181"/>
    <x v="1"/>
    <x v="1"/>
    <x v="2"/>
    <s v="No"/>
    <n v="35"/>
    <n v="172389"/>
    <n v="2"/>
    <n v="4"/>
    <n v="19"/>
    <n v="18"/>
    <n v="1"/>
    <n v="2"/>
    <n v="3"/>
    <n v="23"/>
    <x v="0"/>
    <m/>
  </r>
  <r>
    <x v="0"/>
    <s v="Travel_Rarely"/>
    <x v="3"/>
    <s v="Current Employees"/>
    <x v="2"/>
    <x v="0"/>
    <s v="STAFF-182"/>
    <n v="182"/>
    <x v="1"/>
    <x v="2"/>
    <x v="2"/>
    <s v="Yes"/>
    <n v="52"/>
    <n v="54868"/>
    <n v="3"/>
    <n v="1"/>
    <n v="15"/>
    <n v="22"/>
    <n v="2"/>
    <n v="2"/>
    <n v="3"/>
    <n v="27"/>
    <x v="3"/>
    <m/>
  </r>
  <r>
    <x v="0"/>
    <s v="Non-Travel"/>
    <x v="1"/>
    <s v="Current Employees"/>
    <x v="3"/>
    <x v="4"/>
    <s v="STAFF-183"/>
    <n v="183"/>
    <x v="1"/>
    <x v="8"/>
    <x v="2"/>
    <s v="Yes"/>
    <n v="24"/>
    <n v="119171"/>
    <n v="4"/>
    <n v="4"/>
    <n v="10"/>
    <n v="26"/>
    <n v="3"/>
    <n v="4"/>
    <n v="4"/>
    <n v="18"/>
    <x v="2"/>
    <m/>
  </r>
  <r>
    <x v="0"/>
    <s v="Non-Travel"/>
    <x v="2"/>
    <s v="Current Employees"/>
    <x v="2"/>
    <x v="3"/>
    <s v="STAFF-184"/>
    <n v="184"/>
    <x v="0"/>
    <x v="6"/>
    <x v="1"/>
    <s v="Yes"/>
    <n v="23"/>
    <n v="95308"/>
    <n v="1"/>
    <n v="3"/>
    <n v="16"/>
    <n v="6"/>
    <n v="0"/>
    <n v="3"/>
    <n v="3"/>
    <n v="29"/>
    <x v="2"/>
    <m/>
  </r>
  <r>
    <x v="0"/>
    <s v="Travel_Frequently"/>
    <x v="0"/>
    <s v="Current Employees"/>
    <x v="4"/>
    <x v="1"/>
    <s v="STAFF-185"/>
    <n v="185"/>
    <x v="1"/>
    <x v="5"/>
    <x v="1"/>
    <s v="Yes"/>
    <n v="59"/>
    <n v="131823"/>
    <n v="2"/>
    <n v="1"/>
    <n v="6"/>
    <n v="21"/>
    <n v="1"/>
    <n v="2"/>
    <n v="4"/>
    <n v="23"/>
    <x v="0"/>
    <m/>
  </r>
  <r>
    <x v="0"/>
    <s v="Non-Travel"/>
    <x v="2"/>
    <s v="Current Employees"/>
    <x v="0"/>
    <x v="2"/>
    <s v="STAFF-186"/>
    <n v="186"/>
    <x v="1"/>
    <x v="3"/>
    <x v="2"/>
    <s v="Yes"/>
    <n v="46"/>
    <n v="167886"/>
    <n v="4"/>
    <n v="2"/>
    <n v="3"/>
    <n v="23"/>
    <n v="0"/>
    <n v="4"/>
    <n v="3"/>
    <n v="10"/>
    <x v="0"/>
    <m/>
  </r>
  <r>
    <x v="0"/>
    <s v="Travel_Rarely"/>
    <x v="0"/>
    <s v="Current Employees"/>
    <x v="3"/>
    <x v="3"/>
    <s v="STAFF-187"/>
    <n v="187"/>
    <x v="1"/>
    <x v="0"/>
    <x v="1"/>
    <s v="Yes"/>
    <n v="40"/>
    <n v="122193"/>
    <n v="4"/>
    <n v="4"/>
    <n v="16"/>
    <n v="5"/>
    <n v="5"/>
    <n v="4"/>
    <n v="3"/>
    <n v="12"/>
    <x v="2"/>
    <m/>
  </r>
  <r>
    <x v="0"/>
    <s v="Travel_Frequently"/>
    <x v="1"/>
    <s v="Current Employees"/>
    <x v="0"/>
    <x v="5"/>
    <s v="STAFF-188"/>
    <n v="188"/>
    <x v="1"/>
    <x v="3"/>
    <x v="1"/>
    <s v="Yes"/>
    <n v="30"/>
    <n v="43350"/>
    <n v="1"/>
    <n v="3"/>
    <n v="34"/>
    <n v="26"/>
    <n v="6"/>
    <n v="2"/>
    <n v="3"/>
    <n v="27"/>
    <x v="2"/>
    <m/>
  </r>
  <r>
    <x v="0"/>
    <s v="Non-Travel"/>
    <x v="1"/>
    <s v="Current Employees"/>
    <x v="2"/>
    <x v="5"/>
    <s v="STAFF-189"/>
    <n v="189"/>
    <x v="0"/>
    <x v="9"/>
    <x v="1"/>
    <s v="Yes"/>
    <n v="46"/>
    <n v="27103"/>
    <n v="2"/>
    <n v="1"/>
    <n v="28"/>
    <n v="11"/>
    <n v="1"/>
    <n v="2"/>
    <n v="3"/>
    <n v="5"/>
    <x v="1"/>
    <m/>
  </r>
  <r>
    <x v="0"/>
    <s v="Travel_Rarely"/>
    <x v="3"/>
    <s v="Current Employees"/>
    <x v="1"/>
    <x v="3"/>
    <s v="STAFF-190"/>
    <n v="190"/>
    <x v="0"/>
    <x v="2"/>
    <x v="1"/>
    <s v="No"/>
    <n v="25"/>
    <n v="40813"/>
    <n v="4"/>
    <n v="4"/>
    <n v="35"/>
    <n v="20"/>
    <n v="6"/>
    <n v="3"/>
    <n v="4"/>
    <n v="30"/>
    <x v="1"/>
    <m/>
  </r>
  <r>
    <x v="0"/>
    <s v="Travel_Frequently"/>
    <x v="2"/>
    <s v="Current Employees"/>
    <x v="2"/>
    <x v="4"/>
    <s v="STAFF-191"/>
    <n v="191"/>
    <x v="1"/>
    <x v="6"/>
    <x v="2"/>
    <s v="Yes"/>
    <n v="27"/>
    <n v="165504"/>
    <n v="1"/>
    <n v="3"/>
    <n v="34"/>
    <n v="22"/>
    <n v="3"/>
    <n v="3"/>
    <n v="4"/>
    <n v="21"/>
    <x v="2"/>
    <m/>
  </r>
  <r>
    <x v="0"/>
    <s v="Travel_Frequently"/>
    <x v="2"/>
    <s v="Current Employees"/>
    <x v="3"/>
    <x v="5"/>
    <s v="STAFF-192"/>
    <n v="192"/>
    <x v="0"/>
    <x v="2"/>
    <x v="0"/>
    <s v="No"/>
    <n v="23"/>
    <n v="121754"/>
    <n v="3"/>
    <n v="2"/>
    <n v="3"/>
    <n v="30"/>
    <n v="2"/>
    <n v="3"/>
    <n v="3"/>
    <n v="11"/>
    <x v="3"/>
    <m/>
  </r>
  <r>
    <x v="0"/>
    <s v="Non-Travel"/>
    <x v="4"/>
    <s v="Current Employees"/>
    <x v="5"/>
    <x v="4"/>
    <s v="STAFF-193"/>
    <n v="193"/>
    <x v="0"/>
    <x v="6"/>
    <x v="1"/>
    <s v="No"/>
    <n v="41"/>
    <n v="88626"/>
    <n v="4"/>
    <n v="1"/>
    <n v="12"/>
    <n v="28"/>
    <n v="1"/>
    <n v="4"/>
    <n v="4"/>
    <n v="25"/>
    <x v="0"/>
    <m/>
  </r>
  <r>
    <x v="1"/>
    <s v="Travel_Rarely"/>
    <x v="4"/>
    <s v="Ex-Employees"/>
    <x v="2"/>
    <x v="4"/>
    <s v="STAFF-194"/>
    <n v="194"/>
    <x v="1"/>
    <x v="4"/>
    <x v="1"/>
    <s v="Yes"/>
    <n v="54"/>
    <n v="167074"/>
    <n v="1"/>
    <n v="2"/>
    <n v="12"/>
    <n v="12"/>
    <n v="6"/>
    <n v="1"/>
    <n v="3"/>
    <n v="2"/>
    <x v="2"/>
    <m/>
  </r>
  <r>
    <x v="0"/>
    <s v="Travel_Frequently"/>
    <x v="1"/>
    <s v="Current Employees"/>
    <x v="3"/>
    <x v="2"/>
    <s v="STAFF-195"/>
    <n v="195"/>
    <x v="1"/>
    <x v="4"/>
    <x v="1"/>
    <s v="Yes"/>
    <n v="22"/>
    <n v="81422"/>
    <n v="3"/>
    <n v="4"/>
    <n v="38"/>
    <n v="28"/>
    <n v="1"/>
    <n v="4"/>
    <n v="4"/>
    <n v="12"/>
    <x v="4"/>
    <m/>
  </r>
  <r>
    <x v="0"/>
    <s v="Travel_Rarely"/>
    <x v="1"/>
    <s v="Current Employees"/>
    <x v="5"/>
    <x v="2"/>
    <s v="STAFF-196"/>
    <n v="196"/>
    <x v="0"/>
    <x v="7"/>
    <x v="2"/>
    <s v="Yes"/>
    <n v="57"/>
    <n v="74182"/>
    <n v="2"/>
    <n v="2"/>
    <n v="13"/>
    <n v="17"/>
    <n v="5"/>
    <n v="4"/>
    <n v="3"/>
    <n v="28"/>
    <x v="1"/>
    <m/>
  </r>
  <r>
    <x v="0"/>
    <s v="Non-Travel"/>
    <x v="1"/>
    <s v="Current Employees"/>
    <x v="3"/>
    <x v="4"/>
    <s v="STAFF-197"/>
    <n v="197"/>
    <x v="0"/>
    <x v="8"/>
    <x v="0"/>
    <s v="No"/>
    <n v="38"/>
    <n v="129098"/>
    <n v="4"/>
    <n v="3"/>
    <n v="29"/>
    <n v="16"/>
    <n v="1"/>
    <n v="4"/>
    <n v="4"/>
    <n v="22"/>
    <x v="0"/>
    <m/>
  </r>
  <r>
    <x v="0"/>
    <s v="Travel_Rarely"/>
    <x v="1"/>
    <s v="Current Employees"/>
    <x v="4"/>
    <x v="1"/>
    <s v="STAFF-198"/>
    <n v="198"/>
    <x v="1"/>
    <x v="4"/>
    <x v="0"/>
    <s v="No"/>
    <n v="40"/>
    <n v="46338"/>
    <n v="4"/>
    <n v="1"/>
    <n v="21"/>
    <n v="17"/>
    <n v="5"/>
    <n v="3"/>
    <n v="4"/>
    <n v="9"/>
    <x v="3"/>
    <m/>
  </r>
  <r>
    <x v="0"/>
    <s v="Travel_Rarely"/>
    <x v="2"/>
    <s v="Current Employees"/>
    <x v="3"/>
    <x v="1"/>
    <s v="STAFF-199"/>
    <n v="199"/>
    <x v="1"/>
    <x v="1"/>
    <x v="0"/>
    <s v="Yes"/>
    <n v="22"/>
    <n v="148383"/>
    <n v="3"/>
    <n v="3"/>
    <n v="26"/>
    <n v="25"/>
    <n v="3"/>
    <n v="1"/>
    <n v="3"/>
    <n v="11"/>
    <x v="4"/>
    <m/>
  </r>
  <r>
    <x v="0"/>
    <s v="Non-Travel"/>
    <x v="2"/>
    <s v="Current Employees"/>
    <x v="1"/>
    <x v="2"/>
    <s v="STAFF-200"/>
    <n v="200"/>
    <x v="1"/>
    <x v="6"/>
    <x v="0"/>
    <s v="Yes"/>
    <n v="39"/>
    <n v="43586"/>
    <n v="4"/>
    <n v="2"/>
    <n v="16"/>
    <n v="35"/>
    <n v="6"/>
    <n v="2"/>
    <n v="4"/>
    <n v="21"/>
    <x v="1"/>
    <m/>
  </r>
  <r>
    <x v="0"/>
    <s v="Travel_Frequently"/>
    <x v="1"/>
    <s v="Current Employees"/>
    <x v="0"/>
    <x v="2"/>
    <s v="STAFF-201"/>
    <n v="201"/>
    <x v="1"/>
    <x v="8"/>
    <x v="0"/>
    <s v="No"/>
    <n v="50"/>
    <n v="48875"/>
    <n v="4"/>
    <n v="1"/>
    <n v="40"/>
    <n v="37"/>
    <n v="4"/>
    <n v="1"/>
    <n v="4"/>
    <n v="29"/>
    <x v="4"/>
    <m/>
  </r>
  <r>
    <x v="0"/>
    <s v="Non-Travel"/>
    <x v="4"/>
    <s v="Current Employees"/>
    <x v="1"/>
    <x v="2"/>
    <s v="STAFF-202"/>
    <n v="202"/>
    <x v="1"/>
    <x v="5"/>
    <x v="2"/>
    <s v="Yes"/>
    <n v="33"/>
    <n v="107828"/>
    <n v="4"/>
    <n v="4"/>
    <n v="9"/>
    <n v="20"/>
    <n v="6"/>
    <n v="2"/>
    <n v="3"/>
    <n v="16"/>
    <x v="3"/>
    <m/>
  </r>
  <r>
    <x v="0"/>
    <s v="Travel_Rarely"/>
    <x v="1"/>
    <s v="Current Employees"/>
    <x v="5"/>
    <x v="4"/>
    <s v="STAFF-203"/>
    <n v="203"/>
    <x v="1"/>
    <x v="8"/>
    <x v="2"/>
    <s v="Yes"/>
    <n v="57"/>
    <n v="59532"/>
    <n v="4"/>
    <n v="1"/>
    <n v="8"/>
    <n v="39"/>
    <n v="3"/>
    <n v="4"/>
    <n v="4"/>
    <n v="14"/>
    <x v="2"/>
    <m/>
  </r>
  <r>
    <x v="0"/>
    <s v="Non-Travel"/>
    <x v="0"/>
    <s v="Current Employees"/>
    <x v="3"/>
    <x v="2"/>
    <s v="STAFF-204"/>
    <n v="204"/>
    <x v="0"/>
    <x v="1"/>
    <x v="0"/>
    <s v="Yes"/>
    <n v="22"/>
    <n v="19081"/>
    <n v="2"/>
    <n v="2"/>
    <n v="22"/>
    <n v="19"/>
    <n v="1"/>
    <n v="1"/>
    <n v="4"/>
    <n v="17"/>
    <x v="0"/>
    <m/>
  </r>
  <r>
    <x v="0"/>
    <s v="Travel_Frequently"/>
    <x v="0"/>
    <s v="Current Employees"/>
    <x v="4"/>
    <x v="2"/>
    <s v="STAFF-205"/>
    <n v="205"/>
    <x v="1"/>
    <x v="4"/>
    <x v="0"/>
    <s v="No"/>
    <n v="48"/>
    <n v="53072"/>
    <n v="3"/>
    <n v="4"/>
    <n v="22"/>
    <n v="12"/>
    <n v="1"/>
    <n v="4"/>
    <n v="3"/>
    <n v="8"/>
    <x v="4"/>
    <m/>
  </r>
  <r>
    <x v="0"/>
    <s v="Travel_Rarely"/>
    <x v="1"/>
    <s v="Current Employees"/>
    <x v="5"/>
    <x v="1"/>
    <s v="STAFF-206"/>
    <n v="206"/>
    <x v="0"/>
    <x v="0"/>
    <x v="1"/>
    <s v="Yes"/>
    <n v="45"/>
    <n v="85053"/>
    <n v="1"/>
    <n v="1"/>
    <n v="6"/>
    <n v="41"/>
    <n v="6"/>
    <n v="1"/>
    <n v="3"/>
    <n v="23"/>
    <x v="1"/>
    <m/>
  </r>
  <r>
    <x v="0"/>
    <s v="Travel_Frequently"/>
    <x v="1"/>
    <s v="Current Employees"/>
    <x v="2"/>
    <x v="5"/>
    <s v="STAFF-207"/>
    <n v="207"/>
    <x v="0"/>
    <x v="3"/>
    <x v="0"/>
    <s v="Yes"/>
    <n v="40"/>
    <n v="128328"/>
    <n v="1"/>
    <n v="3"/>
    <n v="39"/>
    <n v="38"/>
    <n v="5"/>
    <n v="2"/>
    <n v="4"/>
    <n v="27"/>
    <x v="1"/>
    <m/>
  </r>
  <r>
    <x v="0"/>
    <s v="Travel_Rarely"/>
    <x v="2"/>
    <s v="Current Employees"/>
    <x v="0"/>
    <x v="4"/>
    <s v="STAFF-208"/>
    <n v="208"/>
    <x v="1"/>
    <x v="3"/>
    <x v="0"/>
    <s v="Yes"/>
    <n v="37"/>
    <n v="155139"/>
    <n v="2"/>
    <n v="3"/>
    <n v="26"/>
    <n v="18"/>
    <n v="1"/>
    <n v="1"/>
    <n v="4"/>
    <n v="30"/>
    <x v="4"/>
    <m/>
  </r>
  <r>
    <x v="0"/>
    <s v="Travel_Rarely"/>
    <x v="2"/>
    <s v="Current Employees"/>
    <x v="3"/>
    <x v="4"/>
    <s v="STAFF-209"/>
    <n v="209"/>
    <x v="0"/>
    <x v="0"/>
    <x v="0"/>
    <s v="No"/>
    <n v="30"/>
    <n v="41614"/>
    <n v="1"/>
    <n v="1"/>
    <n v="16"/>
    <n v="41"/>
    <n v="1"/>
    <n v="4"/>
    <n v="4"/>
    <n v="9"/>
    <x v="2"/>
    <m/>
  </r>
  <r>
    <x v="0"/>
    <s v="Travel_Frequently"/>
    <x v="4"/>
    <s v="Current Employees"/>
    <x v="4"/>
    <x v="2"/>
    <s v="STAFF-210"/>
    <n v="210"/>
    <x v="1"/>
    <x v="7"/>
    <x v="0"/>
    <s v="Yes"/>
    <n v="27"/>
    <n v="30029"/>
    <n v="1"/>
    <n v="2"/>
    <n v="10"/>
    <n v="21"/>
    <n v="2"/>
    <n v="4"/>
    <n v="4"/>
    <n v="29"/>
    <x v="1"/>
    <m/>
  </r>
  <r>
    <x v="0"/>
    <s v="Travel_Frequently"/>
    <x v="1"/>
    <s v="Current Employees"/>
    <x v="4"/>
    <x v="5"/>
    <s v="STAFF-211"/>
    <n v="211"/>
    <x v="1"/>
    <x v="8"/>
    <x v="1"/>
    <s v="No"/>
    <n v="47"/>
    <n v="61720"/>
    <n v="1"/>
    <n v="2"/>
    <n v="3"/>
    <n v="10"/>
    <n v="0"/>
    <n v="4"/>
    <n v="4"/>
    <n v="26"/>
    <x v="0"/>
    <m/>
  </r>
  <r>
    <x v="0"/>
    <s v="Travel_Frequently"/>
    <x v="1"/>
    <s v="Current Employees"/>
    <x v="1"/>
    <x v="1"/>
    <s v="STAFF-212"/>
    <n v="212"/>
    <x v="0"/>
    <x v="6"/>
    <x v="1"/>
    <s v="No"/>
    <n v="28"/>
    <n v="125815"/>
    <n v="4"/>
    <n v="1"/>
    <n v="4"/>
    <n v="16"/>
    <n v="5"/>
    <n v="3"/>
    <n v="3"/>
    <n v="23"/>
    <x v="0"/>
    <m/>
  </r>
  <r>
    <x v="0"/>
    <s v="Travel_Rarely"/>
    <x v="2"/>
    <s v="Current Employees"/>
    <x v="2"/>
    <x v="3"/>
    <s v="STAFF-213"/>
    <n v="213"/>
    <x v="1"/>
    <x v="4"/>
    <x v="0"/>
    <s v="Yes"/>
    <n v="48"/>
    <n v="83162"/>
    <n v="4"/>
    <n v="3"/>
    <n v="24"/>
    <n v="9"/>
    <n v="6"/>
    <n v="1"/>
    <n v="3"/>
    <n v="21"/>
    <x v="4"/>
    <m/>
  </r>
  <r>
    <x v="0"/>
    <s v="Travel_Rarely"/>
    <x v="2"/>
    <s v="Current Employees"/>
    <x v="1"/>
    <x v="4"/>
    <s v="STAFF-214"/>
    <n v="214"/>
    <x v="1"/>
    <x v="1"/>
    <x v="2"/>
    <s v="No"/>
    <n v="38"/>
    <n v="31199"/>
    <n v="2"/>
    <n v="4"/>
    <n v="25"/>
    <n v="15"/>
    <n v="0"/>
    <n v="4"/>
    <n v="4"/>
    <n v="26"/>
    <x v="0"/>
    <m/>
  </r>
  <r>
    <x v="0"/>
    <s v="Travel_Frequently"/>
    <x v="4"/>
    <s v="Current Employees"/>
    <x v="1"/>
    <x v="4"/>
    <s v="STAFF-215"/>
    <n v="215"/>
    <x v="1"/>
    <x v="5"/>
    <x v="2"/>
    <s v="No"/>
    <n v="47"/>
    <n v="27393"/>
    <n v="1"/>
    <n v="1"/>
    <n v="38"/>
    <n v="39"/>
    <n v="5"/>
    <n v="3"/>
    <n v="3"/>
    <n v="21"/>
    <x v="2"/>
    <m/>
  </r>
  <r>
    <x v="1"/>
    <s v="Travel_Rarely"/>
    <x v="1"/>
    <s v="Ex-Employees"/>
    <x v="4"/>
    <x v="5"/>
    <s v="STAFF-216"/>
    <n v="216"/>
    <x v="1"/>
    <x v="4"/>
    <x v="0"/>
    <s v="No"/>
    <n v="44"/>
    <n v="136628"/>
    <n v="1"/>
    <n v="1"/>
    <n v="14"/>
    <n v="0"/>
    <n v="2"/>
    <n v="3"/>
    <n v="4"/>
    <n v="18"/>
    <x v="0"/>
    <m/>
  </r>
  <r>
    <x v="0"/>
    <s v="Travel_Frequently"/>
    <x v="1"/>
    <s v="Current Employees"/>
    <x v="3"/>
    <x v="0"/>
    <s v="STAFF-217"/>
    <n v="217"/>
    <x v="1"/>
    <x v="0"/>
    <x v="1"/>
    <s v="Yes"/>
    <n v="33"/>
    <n v="49652"/>
    <n v="4"/>
    <n v="2"/>
    <n v="29"/>
    <n v="12"/>
    <n v="5"/>
    <n v="3"/>
    <n v="3"/>
    <n v="25"/>
    <x v="2"/>
    <m/>
  </r>
  <r>
    <x v="0"/>
    <s v="Non-Travel"/>
    <x v="2"/>
    <s v="Current Employees"/>
    <x v="5"/>
    <x v="4"/>
    <s v="STAFF-218"/>
    <n v="218"/>
    <x v="1"/>
    <x v="9"/>
    <x v="0"/>
    <s v="Yes"/>
    <n v="52"/>
    <n v="19137"/>
    <n v="1"/>
    <n v="4"/>
    <n v="37"/>
    <n v="30"/>
    <n v="4"/>
    <n v="2"/>
    <n v="3"/>
    <n v="24"/>
    <x v="4"/>
    <m/>
  </r>
  <r>
    <x v="0"/>
    <s v="Travel_Frequently"/>
    <x v="2"/>
    <s v="Current Employees"/>
    <x v="2"/>
    <x v="1"/>
    <s v="STAFF-219"/>
    <n v="219"/>
    <x v="1"/>
    <x v="7"/>
    <x v="0"/>
    <s v="Yes"/>
    <n v="38"/>
    <n v="122299"/>
    <n v="3"/>
    <n v="3"/>
    <n v="28"/>
    <n v="8"/>
    <n v="1"/>
    <n v="4"/>
    <n v="4"/>
    <n v="27"/>
    <x v="0"/>
    <m/>
  </r>
  <r>
    <x v="1"/>
    <s v="Non-Travel"/>
    <x v="2"/>
    <s v="Ex-Employees"/>
    <x v="2"/>
    <x v="0"/>
    <s v="STAFF-220"/>
    <n v="220"/>
    <x v="0"/>
    <x v="3"/>
    <x v="0"/>
    <s v="No"/>
    <n v="43"/>
    <n v="52779"/>
    <n v="2"/>
    <n v="3"/>
    <n v="7"/>
    <n v="22"/>
    <n v="4"/>
    <n v="4"/>
    <n v="4"/>
    <n v="22"/>
    <x v="0"/>
    <m/>
  </r>
  <r>
    <x v="0"/>
    <s v="Non-Travel"/>
    <x v="4"/>
    <s v="Current Employees"/>
    <x v="4"/>
    <x v="4"/>
    <s v="STAFF-221"/>
    <n v="221"/>
    <x v="0"/>
    <x v="7"/>
    <x v="2"/>
    <s v="Yes"/>
    <n v="24"/>
    <n v="70403"/>
    <n v="3"/>
    <n v="2"/>
    <n v="18"/>
    <n v="16"/>
    <n v="1"/>
    <n v="1"/>
    <n v="4"/>
    <n v="7"/>
    <x v="0"/>
    <m/>
  </r>
  <r>
    <x v="0"/>
    <s v="Non-Travel"/>
    <x v="4"/>
    <s v="Current Employees"/>
    <x v="4"/>
    <x v="3"/>
    <s v="STAFF-222"/>
    <n v="222"/>
    <x v="0"/>
    <x v="4"/>
    <x v="1"/>
    <s v="Yes"/>
    <n v="53"/>
    <n v="93402"/>
    <n v="1"/>
    <n v="4"/>
    <n v="24"/>
    <n v="26"/>
    <n v="6"/>
    <n v="3"/>
    <n v="3"/>
    <n v="1"/>
    <x v="3"/>
    <m/>
  </r>
  <r>
    <x v="0"/>
    <s v="Travel_Rarely"/>
    <x v="4"/>
    <s v="Current Employees"/>
    <x v="1"/>
    <x v="3"/>
    <s v="STAFF-223"/>
    <n v="223"/>
    <x v="1"/>
    <x v="2"/>
    <x v="0"/>
    <s v="Yes"/>
    <n v="33"/>
    <n v="95116"/>
    <n v="4"/>
    <n v="2"/>
    <n v="4"/>
    <n v="11"/>
    <n v="1"/>
    <n v="1"/>
    <n v="4"/>
    <n v="2"/>
    <x v="2"/>
    <m/>
  </r>
  <r>
    <x v="0"/>
    <s v="Non-Travel"/>
    <x v="1"/>
    <s v="Current Employees"/>
    <x v="3"/>
    <x v="2"/>
    <s v="STAFF-224"/>
    <n v="224"/>
    <x v="0"/>
    <x v="1"/>
    <x v="1"/>
    <s v="Yes"/>
    <n v="23"/>
    <n v="58292"/>
    <n v="3"/>
    <n v="1"/>
    <n v="40"/>
    <n v="39"/>
    <n v="6"/>
    <n v="3"/>
    <n v="4"/>
    <n v="26"/>
    <x v="0"/>
    <m/>
  </r>
  <r>
    <x v="0"/>
    <s v="Travel_Frequently"/>
    <x v="0"/>
    <s v="Current Employees"/>
    <x v="5"/>
    <x v="1"/>
    <s v="STAFF-225"/>
    <n v="225"/>
    <x v="0"/>
    <x v="6"/>
    <x v="0"/>
    <s v="Yes"/>
    <n v="53"/>
    <n v="59778"/>
    <n v="4"/>
    <n v="4"/>
    <n v="5"/>
    <n v="22"/>
    <n v="1"/>
    <n v="2"/>
    <n v="4"/>
    <n v="11"/>
    <x v="3"/>
    <m/>
  </r>
  <r>
    <x v="0"/>
    <s v="Non-Travel"/>
    <x v="3"/>
    <s v="Current Employees"/>
    <x v="2"/>
    <x v="5"/>
    <s v="STAFF-226"/>
    <n v="226"/>
    <x v="0"/>
    <x v="0"/>
    <x v="0"/>
    <s v="No"/>
    <n v="49"/>
    <n v="81005"/>
    <n v="2"/>
    <n v="1"/>
    <n v="20"/>
    <n v="24"/>
    <n v="6"/>
    <n v="1"/>
    <n v="4"/>
    <n v="9"/>
    <x v="0"/>
    <m/>
  </r>
  <r>
    <x v="0"/>
    <s v="Travel_Frequently"/>
    <x v="0"/>
    <s v="Current Employees"/>
    <x v="2"/>
    <x v="1"/>
    <s v="STAFF-227"/>
    <n v="227"/>
    <x v="1"/>
    <x v="9"/>
    <x v="2"/>
    <s v="No"/>
    <n v="33"/>
    <n v="101968"/>
    <n v="1"/>
    <n v="1"/>
    <n v="10"/>
    <n v="34"/>
    <n v="4"/>
    <n v="1"/>
    <n v="3"/>
    <n v="7"/>
    <x v="4"/>
    <m/>
  </r>
  <r>
    <x v="1"/>
    <s v="Travel_Rarely"/>
    <x v="1"/>
    <s v="Ex-Employees"/>
    <x v="4"/>
    <x v="1"/>
    <s v="STAFF-228"/>
    <n v="228"/>
    <x v="1"/>
    <x v="0"/>
    <x v="0"/>
    <s v="Yes"/>
    <n v="22"/>
    <n v="138383"/>
    <n v="3"/>
    <n v="1"/>
    <n v="5"/>
    <n v="4"/>
    <n v="0"/>
    <n v="2"/>
    <n v="4"/>
    <n v="18"/>
    <x v="1"/>
    <m/>
  </r>
  <r>
    <x v="0"/>
    <s v="Travel_Frequently"/>
    <x v="1"/>
    <s v="Current Employees"/>
    <x v="0"/>
    <x v="5"/>
    <s v="STAFF-229"/>
    <n v="229"/>
    <x v="1"/>
    <x v="7"/>
    <x v="1"/>
    <s v="No"/>
    <n v="22"/>
    <n v="120105"/>
    <n v="1"/>
    <n v="1"/>
    <n v="39"/>
    <n v="4"/>
    <n v="6"/>
    <n v="1"/>
    <n v="3"/>
    <n v="12"/>
    <x v="0"/>
    <m/>
  </r>
  <r>
    <x v="0"/>
    <s v="Non-Travel"/>
    <x v="4"/>
    <s v="Current Employees"/>
    <x v="0"/>
    <x v="4"/>
    <s v="STAFF-230"/>
    <n v="230"/>
    <x v="1"/>
    <x v="9"/>
    <x v="1"/>
    <s v="No"/>
    <n v="22"/>
    <n v="142253"/>
    <n v="2"/>
    <n v="2"/>
    <n v="8"/>
    <n v="25"/>
    <n v="6"/>
    <n v="3"/>
    <n v="3"/>
    <n v="10"/>
    <x v="3"/>
    <m/>
  </r>
  <r>
    <x v="1"/>
    <s v="Travel_Rarely"/>
    <x v="0"/>
    <s v="Ex-Employees"/>
    <x v="2"/>
    <x v="4"/>
    <s v="STAFF-231"/>
    <n v="231"/>
    <x v="0"/>
    <x v="5"/>
    <x v="0"/>
    <s v="No"/>
    <n v="55"/>
    <n v="161530"/>
    <n v="1"/>
    <n v="3"/>
    <n v="13"/>
    <n v="22"/>
    <n v="1"/>
    <n v="4"/>
    <n v="3"/>
    <n v="6"/>
    <x v="4"/>
    <m/>
  </r>
  <r>
    <x v="0"/>
    <s v="Travel_Rarely"/>
    <x v="4"/>
    <s v="Current Employees"/>
    <x v="3"/>
    <x v="0"/>
    <s v="STAFF-232"/>
    <n v="232"/>
    <x v="0"/>
    <x v="4"/>
    <x v="1"/>
    <s v="Yes"/>
    <n v="39"/>
    <n v="35658"/>
    <n v="3"/>
    <n v="1"/>
    <n v="12"/>
    <n v="37"/>
    <n v="3"/>
    <n v="3"/>
    <n v="4"/>
    <n v="5"/>
    <x v="4"/>
    <m/>
  </r>
  <r>
    <x v="0"/>
    <s v="Travel_Frequently"/>
    <x v="2"/>
    <s v="Current Employees"/>
    <x v="3"/>
    <x v="5"/>
    <s v="STAFF-233"/>
    <n v="233"/>
    <x v="1"/>
    <x v="1"/>
    <x v="0"/>
    <s v="No"/>
    <n v="58"/>
    <n v="57949"/>
    <n v="3"/>
    <n v="3"/>
    <n v="27"/>
    <n v="10"/>
    <n v="0"/>
    <n v="3"/>
    <n v="3"/>
    <n v="26"/>
    <x v="4"/>
    <m/>
  </r>
  <r>
    <x v="0"/>
    <s v="Travel_Frequently"/>
    <x v="2"/>
    <s v="Current Employees"/>
    <x v="0"/>
    <x v="0"/>
    <s v="STAFF-234"/>
    <n v="234"/>
    <x v="1"/>
    <x v="9"/>
    <x v="1"/>
    <s v="No"/>
    <n v="43"/>
    <n v="98077"/>
    <n v="4"/>
    <n v="1"/>
    <n v="11"/>
    <n v="41"/>
    <n v="4"/>
    <n v="1"/>
    <n v="4"/>
    <n v="28"/>
    <x v="4"/>
    <m/>
  </r>
  <r>
    <x v="1"/>
    <s v="Non-Travel"/>
    <x v="1"/>
    <s v="Ex-Employees"/>
    <x v="5"/>
    <x v="4"/>
    <s v="STAFF-235"/>
    <n v="235"/>
    <x v="0"/>
    <x v="5"/>
    <x v="0"/>
    <s v="Yes"/>
    <n v="58"/>
    <n v="169755"/>
    <n v="4"/>
    <n v="2"/>
    <n v="2"/>
    <n v="35"/>
    <n v="2"/>
    <n v="4"/>
    <n v="3"/>
    <n v="12"/>
    <x v="2"/>
    <m/>
  </r>
  <r>
    <x v="0"/>
    <s v="Travel_Frequently"/>
    <x v="4"/>
    <s v="Current Employees"/>
    <x v="5"/>
    <x v="0"/>
    <s v="STAFF-236"/>
    <n v="236"/>
    <x v="1"/>
    <x v="4"/>
    <x v="0"/>
    <s v="Yes"/>
    <n v="46"/>
    <n v="113385"/>
    <n v="1"/>
    <n v="2"/>
    <n v="39"/>
    <n v="10"/>
    <n v="6"/>
    <n v="2"/>
    <n v="4"/>
    <n v="6"/>
    <x v="4"/>
    <m/>
  </r>
  <r>
    <x v="0"/>
    <s v="Non-Travel"/>
    <x v="2"/>
    <s v="Current Employees"/>
    <x v="3"/>
    <x v="3"/>
    <s v="STAFF-237"/>
    <n v="237"/>
    <x v="1"/>
    <x v="1"/>
    <x v="2"/>
    <s v="Yes"/>
    <n v="52"/>
    <n v="78751"/>
    <n v="1"/>
    <n v="3"/>
    <n v="23"/>
    <n v="14"/>
    <n v="0"/>
    <n v="2"/>
    <n v="4"/>
    <n v="13"/>
    <x v="2"/>
    <m/>
  </r>
  <r>
    <x v="1"/>
    <s v="Non-Travel"/>
    <x v="4"/>
    <s v="Ex-Employees"/>
    <x v="4"/>
    <x v="2"/>
    <s v="STAFF-238"/>
    <n v="238"/>
    <x v="0"/>
    <x v="4"/>
    <x v="0"/>
    <s v="No"/>
    <n v="37"/>
    <n v="169684"/>
    <n v="2"/>
    <n v="4"/>
    <n v="24"/>
    <n v="23"/>
    <n v="4"/>
    <n v="1"/>
    <n v="4"/>
    <n v="13"/>
    <x v="4"/>
    <m/>
  </r>
  <r>
    <x v="0"/>
    <s v="Travel_Frequently"/>
    <x v="1"/>
    <s v="Current Employees"/>
    <x v="0"/>
    <x v="5"/>
    <s v="STAFF-239"/>
    <n v="239"/>
    <x v="0"/>
    <x v="4"/>
    <x v="2"/>
    <s v="No"/>
    <n v="31"/>
    <n v="78290"/>
    <n v="1"/>
    <n v="3"/>
    <n v="13"/>
    <n v="9"/>
    <n v="1"/>
    <n v="2"/>
    <n v="4"/>
    <n v="20"/>
    <x v="1"/>
    <m/>
  </r>
  <r>
    <x v="0"/>
    <s v="Non-Travel"/>
    <x v="1"/>
    <s v="Current Employees"/>
    <x v="0"/>
    <x v="4"/>
    <s v="STAFF-240"/>
    <n v="240"/>
    <x v="1"/>
    <x v="9"/>
    <x v="1"/>
    <s v="Yes"/>
    <n v="58"/>
    <n v="60269"/>
    <n v="4"/>
    <n v="1"/>
    <n v="15"/>
    <n v="2"/>
    <n v="1"/>
    <n v="2"/>
    <n v="3"/>
    <n v="21"/>
    <x v="0"/>
    <m/>
  </r>
  <r>
    <x v="0"/>
    <s v="Travel_Rarely"/>
    <x v="2"/>
    <s v="Current Employees"/>
    <x v="4"/>
    <x v="2"/>
    <s v="STAFF-241"/>
    <n v="241"/>
    <x v="0"/>
    <x v="4"/>
    <x v="1"/>
    <s v="Yes"/>
    <n v="39"/>
    <n v="40478"/>
    <n v="2"/>
    <n v="4"/>
    <n v="38"/>
    <n v="30"/>
    <n v="6"/>
    <n v="4"/>
    <n v="3"/>
    <n v="8"/>
    <x v="2"/>
    <m/>
  </r>
  <r>
    <x v="0"/>
    <s v="Non-Travel"/>
    <x v="4"/>
    <s v="Current Employees"/>
    <x v="3"/>
    <x v="3"/>
    <s v="STAFF-242"/>
    <n v="242"/>
    <x v="1"/>
    <x v="6"/>
    <x v="0"/>
    <s v="No"/>
    <n v="50"/>
    <n v="174377"/>
    <n v="1"/>
    <n v="2"/>
    <n v="24"/>
    <n v="24"/>
    <n v="1"/>
    <n v="1"/>
    <n v="3"/>
    <n v="7"/>
    <x v="0"/>
    <m/>
  </r>
  <r>
    <x v="1"/>
    <s v="Travel_Rarely"/>
    <x v="2"/>
    <s v="Ex-Employees"/>
    <x v="1"/>
    <x v="1"/>
    <s v="STAFF-243"/>
    <n v="243"/>
    <x v="0"/>
    <x v="6"/>
    <x v="1"/>
    <s v="Yes"/>
    <n v="55"/>
    <n v="149944"/>
    <n v="1"/>
    <n v="1"/>
    <n v="30"/>
    <n v="42"/>
    <n v="1"/>
    <n v="1"/>
    <n v="4"/>
    <n v="17"/>
    <x v="2"/>
    <m/>
  </r>
  <r>
    <x v="0"/>
    <s v="Travel_Frequently"/>
    <x v="0"/>
    <s v="Current Employees"/>
    <x v="2"/>
    <x v="0"/>
    <s v="STAFF-244"/>
    <n v="244"/>
    <x v="1"/>
    <x v="7"/>
    <x v="1"/>
    <s v="Yes"/>
    <n v="48"/>
    <n v="53096"/>
    <n v="3"/>
    <n v="4"/>
    <n v="14"/>
    <n v="5"/>
    <n v="2"/>
    <n v="4"/>
    <n v="4"/>
    <n v="7"/>
    <x v="1"/>
    <m/>
  </r>
  <r>
    <x v="0"/>
    <s v="Non-Travel"/>
    <x v="4"/>
    <s v="Current Employees"/>
    <x v="2"/>
    <x v="4"/>
    <s v="STAFF-245"/>
    <n v="245"/>
    <x v="0"/>
    <x v="7"/>
    <x v="0"/>
    <s v="Yes"/>
    <n v="41"/>
    <n v="125176"/>
    <n v="3"/>
    <n v="1"/>
    <n v="9"/>
    <n v="27"/>
    <n v="5"/>
    <n v="3"/>
    <n v="4"/>
    <n v="28"/>
    <x v="0"/>
    <m/>
  </r>
  <r>
    <x v="0"/>
    <s v="Non-Travel"/>
    <x v="1"/>
    <s v="Current Employees"/>
    <x v="0"/>
    <x v="5"/>
    <s v="STAFF-246"/>
    <n v="246"/>
    <x v="0"/>
    <x v="7"/>
    <x v="0"/>
    <s v="No"/>
    <n v="32"/>
    <n v="115049"/>
    <n v="4"/>
    <n v="3"/>
    <n v="19"/>
    <n v="36"/>
    <n v="2"/>
    <n v="4"/>
    <n v="3"/>
    <n v="28"/>
    <x v="1"/>
    <m/>
  </r>
  <r>
    <x v="0"/>
    <s v="Travel_Rarely"/>
    <x v="1"/>
    <s v="Current Employees"/>
    <x v="5"/>
    <x v="4"/>
    <s v="STAFF-247"/>
    <n v="247"/>
    <x v="0"/>
    <x v="4"/>
    <x v="1"/>
    <s v="No"/>
    <n v="56"/>
    <n v="178963"/>
    <n v="1"/>
    <n v="2"/>
    <n v="24"/>
    <n v="40"/>
    <n v="0"/>
    <n v="1"/>
    <n v="3"/>
    <n v="16"/>
    <x v="0"/>
    <m/>
  </r>
  <r>
    <x v="0"/>
    <s v="Travel_Frequently"/>
    <x v="0"/>
    <s v="Current Employees"/>
    <x v="3"/>
    <x v="4"/>
    <s v="STAFF-248"/>
    <n v="248"/>
    <x v="0"/>
    <x v="7"/>
    <x v="1"/>
    <s v="No"/>
    <n v="59"/>
    <n v="33063"/>
    <n v="2"/>
    <n v="4"/>
    <n v="28"/>
    <n v="0"/>
    <n v="1"/>
    <n v="3"/>
    <n v="3"/>
    <n v="2"/>
    <x v="0"/>
    <m/>
  </r>
  <r>
    <x v="0"/>
    <s v="Travel_Rarely"/>
    <x v="2"/>
    <s v="Current Employees"/>
    <x v="2"/>
    <x v="3"/>
    <s v="STAFF-249"/>
    <n v="249"/>
    <x v="0"/>
    <x v="1"/>
    <x v="2"/>
    <s v="Yes"/>
    <n v="31"/>
    <n v="40765"/>
    <n v="3"/>
    <n v="4"/>
    <n v="22"/>
    <n v="42"/>
    <n v="3"/>
    <n v="4"/>
    <n v="3"/>
    <n v="17"/>
    <x v="1"/>
    <m/>
  </r>
  <r>
    <x v="0"/>
    <s v="Non-Travel"/>
    <x v="0"/>
    <s v="Current Employees"/>
    <x v="4"/>
    <x v="2"/>
    <s v="STAFF-250"/>
    <n v="250"/>
    <x v="1"/>
    <x v="1"/>
    <x v="1"/>
    <s v="Yes"/>
    <n v="59"/>
    <n v="68993"/>
    <n v="4"/>
    <n v="4"/>
    <n v="36"/>
    <n v="0"/>
    <n v="2"/>
    <n v="2"/>
    <n v="4"/>
    <n v="17"/>
    <x v="1"/>
    <m/>
  </r>
  <r>
    <x v="0"/>
    <s v="Travel_Rarely"/>
    <x v="2"/>
    <s v="Current Employees"/>
    <x v="0"/>
    <x v="1"/>
    <s v="STAFF-251"/>
    <n v="251"/>
    <x v="1"/>
    <x v="4"/>
    <x v="0"/>
    <s v="No"/>
    <n v="49"/>
    <n v="116849"/>
    <n v="4"/>
    <n v="2"/>
    <n v="21"/>
    <n v="29"/>
    <n v="5"/>
    <n v="4"/>
    <n v="3"/>
    <n v="16"/>
    <x v="1"/>
    <m/>
  </r>
  <r>
    <x v="0"/>
    <s v="Non-Travel"/>
    <x v="1"/>
    <s v="Current Employees"/>
    <x v="3"/>
    <x v="3"/>
    <s v="STAFF-252"/>
    <n v="252"/>
    <x v="0"/>
    <x v="1"/>
    <x v="1"/>
    <s v="No"/>
    <n v="54"/>
    <n v="158417"/>
    <n v="1"/>
    <n v="3"/>
    <n v="15"/>
    <n v="18"/>
    <n v="0"/>
    <n v="4"/>
    <n v="4"/>
    <n v="3"/>
    <x v="0"/>
    <m/>
  </r>
  <r>
    <x v="1"/>
    <s v="Travel_Rarely"/>
    <x v="2"/>
    <s v="Ex-Employees"/>
    <x v="0"/>
    <x v="1"/>
    <s v="STAFF-253"/>
    <n v="253"/>
    <x v="1"/>
    <x v="6"/>
    <x v="0"/>
    <s v="Yes"/>
    <n v="52"/>
    <n v="70341"/>
    <n v="2"/>
    <n v="2"/>
    <n v="16"/>
    <n v="13"/>
    <n v="1"/>
    <n v="2"/>
    <n v="3"/>
    <n v="27"/>
    <x v="0"/>
    <m/>
  </r>
  <r>
    <x v="0"/>
    <s v="Travel_Rarely"/>
    <x v="4"/>
    <s v="Current Employees"/>
    <x v="4"/>
    <x v="3"/>
    <s v="STAFF-254"/>
    <n v="254"/>
    <x v="1"/>
    <x v="2"/>
    <x v="2"/>
    <s v="Yes"/>
    <n v="51"/>
    <n v="115306"/>
    <n v="3"/>
    <n v="4"/>
    <n v="36"/>
    <n v="17"/>
    <n v="3"/>
    <n v="2"/>
    <n v="4"/>
    <n v="13"/>
    <x v="4"/>
    <m/>
  </r>
  <r>
    <x v="0"/>
    <s v="Travel_Frequently"/>
    <x v="1"/>
    <s v="Current Employees"/>
    <x v="2"/>
    <x v="5"/>
    <s v="STAFF-255"/>
    <n v="255"/>
    <x v="0"/>
    <x v="4"/>
    <x v="1"/>
    <s v="No"/>
    <n v="32"/>
    <n v="137851"/>
    <n v="1"/>
    <n v="4"/>
    <n v="20"/>
    <n v="0"/>
    <n v="0"/>
    <n v="2"/>
    <n v="4"/>
    <n v="19"/>
    <x v="1"/>
    <m/>
  </r>
  <r>
    <x v="0"/>
    <s v="Travel_Rarely"/>
    <x v="2"/>
    <s v="Current Employees"/>
    <x v="0"/>
    <x v="1"/>
    <s v="STAFF-256"/>
    <n v="256"/>
    <x v="1"/>
    <x v="3"/>
    <x v="1"/>
    <s v="No"/>
    <n v="60"/>
    <n v="107940"/>
    <n v="3"/>
    <n v="2"/>
    <n v="31"/>
    <n v="27"/>
    <n v="1"/>
    <n v="4"/>
    <n v="4"/>
    <n v="12"/>
    <x v="2"/>
    <m/>
  </r>
  <r>
    <x v="0"/>
    <s v="Non-Travel"/>
    <x v="1"/>
    <s v="Current Employees"/>
    <x v="3"/>
    <x v="3"/>
    <s v="STAFF-257"/>
    <n v="257"/>
    <x v="0"/>
    <x v="0"/>
    <x v="0"/>
    <s v="No"/>
    <n v="36"/>
    <n v="163579"/>
    <n v="4"/>
    <n v="4"/>
    <n v="12"/>
    <n v="9"/>
    <n v="6"/>
    <n v="2"/>
    <n v="4"/>
    <n v="26"/>
    <x v="1"/>
    <m/>
  </r>
  <r>
    <x v="0"/>
    <s v="Non-Travel"/>
    <x v="2"/>
    <s v="Current Employees"/>
    <x v="5"/>
    <x v="1"/>
    <s v="STAFF-258"/>
    <n v="258"/>
    <x v="1"/>
    <x v="9"/>
    <x v="1"/>
    <s v="No"/>
    <n v="56"/>
    <n v="166854"/>
    <n v="1"/>
    <n v="4"/>
    <n v="6"/>
    <n v="10"/>
    <n v="0"/>
    <n v="2"/>
    <n v="4"/>
    <n v="16"/>
    <x v="1"/>
    <m/>
  </r>
  <r>
    <x v="0"/>
    <s v="Travel_Frequently"/>
    <x v="1"/>
    <s v="Current Employees"/>
    <x v="0"/>
    <x v="1"/>
    <s v="STAFF-259"/>
    <n v="259"/>
    <x v="1"/>
    <x v="1"/>
    <x v="2"/>
    <s v="No"/>
    <n v="28"/>
    <n v="110036"/>
    <n v="2"/>
    <n v="2"/>
    <n v="18"/>
    <n v="22"/>
    <n v="2"/>
    <n v="4"/>
    <n v="4"/>
    <n v="29"/>
    <x v="1"/>
    <m/>
  </r>
  <r>
    <x v="0"/>
    <s v="Travel_Rarely"/>
    <x v="1"/>
    <s v="Current Employees"/>
    <x v="5"/>
    <x v="0"/>
    <s v="STAFF-260"/>
    <n v="260"/>
    <x v="1"/>
    <x v="7"/>
    <x v="0"/>
    <s v="No"/>
    <n v="25"/>
    <n v="38738"/>
    <n v="2"/>
    <n v="3"/>
    <n v="14"/>
    <n v="20"/>
    <n v="2"/>
    <n v="3"/>
    <n v="4"/>
    <n v="20"/>
    <x v="2"/>
    <m/>
  </r>
  <r>
    <x v="0"/>
    <s v="Non-Travel"/>
    <x v="1"/>
    <s v="Current Employees"/>
    <x v="0"/>
    <x v="1"/>
    <s v="STAFF-261"/>
    <n v="261"/>
    <x v="1"/>
    <x v="7"/>
    <x v="2"/>
    <s v="Yes"/>
    <n v="22"/>
    <n v="50778"/>
    <n v="2"/>
    <n v="3"/>
    <n v="5"/>
    <n v="13"/>
    <n v="1"/>
    <n v="4"/>
    <n v="3"/>
    <n v="4"/>
    <x v="1"/>
    <m/>
  </r>
  <r>
    <x v="1"/>
    <s v="Travel_Rarely"/>
    <x v="2"/>
    <s v="Ex-Employees"/>
    <x v="4"/>
    <x v="5"/>
    <s v="STAFF-262"/>
    <n v="262"/>
    <x v="0"/>
    <x v="0"/>
    <x v="1"/>
    <s v="Yes"/>
    <n v="26"/>
    <n v="120195"/>
    <n v="3"/>
    <n v="2"/>
    <n v="15"/>
    <n v="18"/>
    <n v="3"/>
    <n v="2"/>
    <n v="3"/>
    <n v="17"/>
    <x v="4"/>
    <m/>
  </r>
  <r>
    <x v="0"/>
    <s v="Travel_Frequently"/>
    <x v="2"/>
    <s v="Current Employees"/>
    <x v="0"/>
    <x v="5"/>
    <s v="STAFF-263"/>
    <n v="263"/>
    <x v="1"/>
    <x v="4"/>
    <x v="1"/>
    <s v="Yes"/>
    <n v="55"/>
    <n v="64409"/>
    <n v="4"/>
    <n v="4"/>
    <n v="33"/>
    <n v="40"/>
    <n v="5"/>
    <n v="3"/>
    <n v="4"/>
    <n v="16"/>
    <x v="0"/>
    <m/>
  </r>
  <r>
    <x v="0"/>
    <s v="Travel_Frequently"/>
    <x v="0"/>
    <s v="Current Employees"/>
    <x v="0"/>
    <x v="5"/>
    <s v="STAFF-264"/>
    <n v="264"/>
    <x v="1"/>
    <x v="6"/>
    <x v="1"/>
    <s v="Yes"/>
    <n v="21"/>
    <n v="155184"/>
    <n v="2"/>
    <n v="3"/>
    <n v="18"/>
    <n v="30"/>
    <n v="4"/>
    <n v="1"/>
    <n v="4"/>
    <n v="25"/>
    <x v="2"/>
    <m/>
  </r>
  <r>
    <x v="0"/>
    <s v="Non-Travel"/>
    <x v="4"/>
    <s v="Current Employees"/>
    <x v="0"/>
    <x v="0"/>
    <s v="STAFF-265"/>
    <n v="265"/>
    <x v="0"/>
    <x v="4"/>
    <x v="1"/>
    <s v="Yes"/>
    <n v="47"/>
    <n v="164945"/>
    <n v="4"/>
    <n v="4"/>
    <n v="15"/>
    <n v="10"/>
    <n v="5"/>
    <n v="4"/>
    <n v="4"/>
    <n v="8"/>
    <x v="3"/>
    <m/>
  </r>
  <r>
    <x v="0"/>
    <s v="Non-Travel"/>
    <x v="2"/>
    <s v="Current Employees"/>
    <x v="2"/>
    <x v="3"/>
    <s v="STAFF-266"/>
    <n v="266"/>
    <x v="1"/>
    <x v="8"/>
    <x v="0"/>
    <s v="No"/>
    <n v="47"/>
    <n v="67283"/>
    <n v="1"/>
    <n v="2"/>
    <n v="8"/>
    <n v="18"/>
    <n v="0"/>
    <n v="4"/>
    <n v="4"/>
    <n v="9"/>
    <x v="0"/>
    <m/>
  </r>
  <r>
    <x v="0"/>
    <s v="Travel_Rarely"/>
    <x v="1"/>
    <s v="Current Employees"/>
    <x v="3"/>
    <x v="1"/>
    <s v="STAFF-267"/>
    <n v="267"/>
    <x v="0"/>
    <x v="6"/>
    <x v="2"/>
    <s v="No"/>
    <n v="38"/>
    <n v="50778"/>
    <n v="4"/>
    <n v="1"/>
    <n v="14"/>
    <n v="5"/>
    <n v="1"/>
    <n v="1"/>
    <n v="4"/>
    <n v="7"/>
    <x v="3"/>
    <m/>
  </r>
  <r>
    <x v="0"/>
    <s v="Travel_Frequently"/>
    <x v="4"/>
    <s v="Current Employees"/>
    <x v="1"/>
    <x v="5"/>
    <s v="STAFF-268"/>
    <n v="268"/>
    <x v="0"/>
    <x v="1"/>
    <x v="2"/>
    <s v="Yes"/>
    <n v="24"/>
    <n v="87862"/>
    <n v="4"/>
    <n v="1"/>
    <n v="34"/>
    <n v="30"/>
    <n v="1"/>
    <n v="2"/>
    <n v="4"/>
    <n v="27"/>
    <x v="2"/>
    <m/>
  </r>
  <r>
    <x v="0"/>
    <s v="Travel_Rarely"/>
    <x v="1"/>
    <s v="Current Employees"/>
    <x v="5"/>
    <x v="5"/>
    <s v="STAFF-269"/>
    <n v="269"/>
    <x v="1"/>
    <x v="3"/>
    <x v="0"/>
    <s v="Yes"/>
    <n v="33"/>
    <n v="138805"/>
    <n v="1"/>
    <n v="2"/>
    <n v="30"/>
    <n v="24"/>
    <n v="5"/>
    <n v="3"/>
    <n v="4"/>
    <n v="6"/>
    <x v="1"/>
    <m/>
  </r>
  <r>
    <x v="0"/>
    <s v="Travel_Frequently"/>
    <x v="2"/>
    <s v="Current Employees"/>
    <x v="4"/>
    <x v="5"/>
    <s v="STAFF-270"/>
    <n v="270"/>
    <x v="1"/>
    <x v="3"/>
    <x v="1"/>
    <s v="Yes"/>
    <n v="34"/>
    <n v="47603"/>
    <n v="2"/>
    <n v="4"/>
    <n v="20"/>
    <n v="0"/>
    <n v="1"/>
    <n v="3"/>
    <n v="3"/>
    <n v="13"/>
    <x v="4"/>
    <m/>
  </r>
  <r>
    <x v="0"/>
    <s v="Travel_Frequently"/>
    <x v="0"/>
    <s v="Current Employees"/>
    <x v="5"/>
    <x v="3"/>
    <s v="STAFF-271"/>
    <n v="271"/>
    <x v="0"/>
    <x v="1"/>
    <x v="2"/>
    <s v="Yes"/>
    <n v="31"/>
    <n v="149050"/>
    <n v="1"/>
    <n v="3"/>
    <n v="40"/>
    <n v="3"/>
    <n v="0"/>
    <n v="3"/>
    <n v="3"/>
    <n v="23"/>
    <x v="0"/>
    <m/>
  </r>
  <r>
    <x v="0"/>
    <s v="Travel_Frequently"/>
    <x v="1"/>
    <s v="Current Employees"/>
    <x v="3"/>
    <x v="1"/>
    <s v="STAFF-272"/>
    <n v="272"/>
    <x v="1"/>
    <x v="9"/>
    <x v="0"/>
    <s v="Yes"/>
    <n v="22"/>
    <n v="117029"/>
    <n v="3"/>
    <n v="2"/>
    <n v="16"/>
    <n v="2"/>
    <n v="3"/>
    <n v="4"/>
    <n v="4"/>
    <n v="18"/>
    <x v="2"/>
    <m/>
  </r>
  <r>
    <x v="0"/>
    <s v="Travel_Frequently"/>
    <x v="1"/>
    <s v="Current Employees"/>
    <x v="0"/>
    <x v="3"/>
    <s v="STAFF-273"/>
    <n v="273"/>
    <x v="1"/>
    <x v="8"/>
    <x v="0"/>
    <s v="Yes"/>
    <n v="25"/>
    <n v="157234"/>
    <n v="2"/>
    <n v="4"/>
    <n v="18"/>
    <n v="16"/>
    <n v="4"/>
    <n v="3"/>
    <n v="4"/>
    <n v="1"/>
    <x v="0"/>
    <m/>
  </r>
  <r>
    <x v="0"/>
    <s v="Non-Travel"/>
    <x v="1"/>
    <s v="Current Employees"/>
    <x v="4"/>
    <x v="2"/>
    <s v="STAFF-274"/>
    <n v="274"/>
    <x v="0"/>
    <x v="1"/>
    <x v="0"/>
    <s v="Yes"/>
    <n v="55"/>
    <n v="119578"/>
    <n v="2"/>
    <n v="4"/>
    <n v="35"/>
    <n v="9"/>
    <n v="4"/>
    <n v="3"/>
    <n v="4"/>
    <n v="14"/>
    <x v="3"/>
    <m/>
  </r>
  <r>
    <x v="0"/>
    <s v="Travel_Rarely"/>
    <x v="2"/>
    <s v="Current Employees"/>
    <x v="4"/>
    <x v="0"/>
    <s v="STAFF-275"/>
    <n v="275"/>
    <x v="0"/>
    <x v="5"/>
    <x v="2"/>
    <s v="Yes"/>
    <n v="52"/>
    <n v="68231"/>
    <n v="1"/>
    <n v="1"/>
    <n v="36"/>
    <n v="41"/>
    <n v="6"/>
    <n v="4"/>
    <n v="4"/>
    <n v="17"/>
    <x v="0"/>
    <m/>
  </r>
  <r>
    <x v="0"/>
    <s v="Travel_Rarely"/>
    <x v="1"/>
    <s v="Current Employees"/>
    <x v="0"/>
    <x v="1"/>
    <s v="STAFF-276"/>
    <n v="276"/>
    <x v="0"/>
    <x v="5"/>
    <x v="2"/>
    <s v="No"/>
    <n v="26"/>
    <n v="140698"/>
    <n v="1"/>
    <n v="3"/>
    <n v="35"/>
    <n v="26"/>
    <n v="6"/>
    <n v="3"/>
    <n v="3"/>
    <n v="27"/>
    <x v="0"/>
    <m/>
  </r>
  <r>
    <x v="0"/>
    <s v="Travel_Frequently"/>
    <x v="0"/>
    <s v="Current Employees"/>
    <x v="4"/>
    <x v="4"/>
    <s v="STAFF-277"/>
    <n v="277"/>
    <x v="0"/>
    <x v="4"/>
    <x v="2"/>
    <s v="Yes"/>
    <n v="35"/>
    <n v="157371"/>
    <n v="4"/>
    <n v="2"/>
    <n v="12"/>
    <n v="33"/>
    <n v="5"/>
    <n v="2"/>
    <n v="3"/>
    <n v="18"/>
    <x v="0"/>
    <m/>
  </r>
  <r>
    <x v="0"/>
    <s v="Non-Travel"/>
    <x v="1"/>
    <s v="Current Employees"/>
    <x v="5"/>
    <x v="2"/>
    <s v="STAFF-278"/>
    <n v="278"/>
    <x v="1"/>
    <x v="7"/>
    <x v="2"/>
    <s v="Yes"/>
    <n v="32"/>
    <n v="162170"/>
    <n v="4"/>
    <n v="3"/>
    <n v="10"/>
    <n v="34"/>
    <n v="4"/>
    <n v="4"/>
    <n v="4"/>
    <n v="29"/>
    <x v="3"/>
    <m/>
  </r>
  <r>
    <x v="0"/>
    <s v="Travel_Frequently"/>
    <x v="3"/>
    <s v="Current Employees"/>
    <x v="0"/>
    <x v="3"/>
    <s v="STAFF-279"/>
    <n v="279"/>
    <x v="1"/>
    <x v="1"/>
    <x v="0"/>
    <s v="Yes"/>
    <n v="57"/>
    <n v="161032"/>
    <n v="2"/>
    <n v="4"/>
    <n v="35"/>
    <n v="16"/>
    <n v="2"/>
    <n v="4"/>
    <n v="4"/>
    <n v="13"/>
    <x v="1"/>
    <m/>
  </r>
  <r>
    <x v="0"/>
    <s v="Travel_Rarely"/>
    <x v="3"/>
    <s v="Current Employees"/>
    <x v="2"/>
    <x v="1"/>
    <s v="STAFF-280"/>
    <n v="280"/>
    <x v="0"/>
    <x v="8"/>
    <x v="2"/>
    <s v="No"/>
    <n v="35"/>
    <n v="74314"/>
    <n v="3"/>
    <n v="1"/>
    <n v="17"/>
    <n v="35"/>
    <n v="4"/>
    <n v="2"/>
    <n v="3"/>
    <n v="2"/>
    <x v="2"/>
    <m/>
  </r>
  <r>
    <x v="0"/>
    <s v="Non-Travel"/>
    <x v="1"/>
    <s v="Current Employees"/>
    <x v="0"/>
    <x v="0"/>
    <s v="STAFF-281"/>
    <n v="281"/>
    <x v="0"/>
    <x v="8"/>
    <x v="1"/>
    <s v="Yes"/>
    <n v="57"/>
    <n v="122804"/>
    <n v="2"/>
    <n v="1"/>
    <n v="20"/>
    <n v="30"/>
    <n v="1"/>
    <n v="4"/>
    <n v="3"/>
    <n v="20"/>
    <x v="3"/>
    <m/>
  </r>
  <r>
    <x v="0"/>
    <s v="Travel_Rarely"/>
    <x v="4"/>
    <s v="Current Employees"/>
    <x v="1"/>
    <x v="4"/>
    <s v="STAFF-282"/>
    <n v="282"/>
    <x v="1"/>
    <x v="1"/>
    <x v="1"/>
    <s v="No"/>
    <n v="28"/>
    <n v="77432"/>
    <n v="1"/>
    <n v="4"/>
    <n v="3"/>
    <n v="19"/>
    <n v="4"/>
    <n v="1"/>
    <n v="4"/>
    <n v="18"/>
    <x v="0"/>
    <m/>
  </r>
  <r>
    <x v="0"/>
    <s v="Travel_Rarely"/>
    <x v="2"/>
    <s v="Current Employees"/>
    <x v="3"/>
    <x v="4"/>
    <s v="STAFF-283"/>
    <n v="283"/>
    <x v="1"/>
    <x v="9"/>
    <x v="0"/>
    <s v="Yes"/>
    <n v="35"/>
    <n v="131229"/>
    <n v="3"/>
    <n v="4"/>
    <n v="9"/>
    <n v="8"/>
    <n v="2"/>
    <n v="1"/>
    <n v="4"/>
    <n v="19"/>
    <x v="1"/>
    <m/>
  </r>
  <r>
    <x v="0"/>
    <s v="Non-Travel"/>
    <x v="1"/>
    <s v="Current Employees"/>
    <x v="1"/>
    <x v="5"/>
    <s v="STAFF-284"/>
    <n v="284"/>
    <x v="0"/>
    <x v="6"/>
    <x v="1"/>
    <s v="Yes"/>
    <n v="52"/>
    <n v="121630"/>
    <n v="2"/>
    <n v="2"/>
    <n v="15"/>
    <n v="4"/>
    <n v="2"/>
    <n v="4"/>
    <n v="4"/>
    <n v="22"/>
    <x v="0"/>
    <m/>
  </r>
  <r>
    <x v="0"/>
    <s v="Travel_Frequently"/>
    <x v="2"/>
    <s v="Current Employees"/>
    <x v="1"/>
    <x v="2"/>
    <s v="STAFF-285"/>
    <n v="285"/>
    <x v="0"/>
    <x v="1"/>
    <x v="1"/>
    <s v="Yes"/>
    <n v="40"/>
    <n v="62369"/>
    <n v="3"/>
    <n v="4"/>
    <n v="39"/>
    <n v="9"/>
    <n v="3"/>
    <n v="1"/>
    <n v="3"/>
    <n v="7"/>
    <x v="3"/>
    <m/>
  </r>
  <r>
    <x v="0"/>
    <s v="Travel_Rarely"/>
    <x v="2"/>
    <s v="Current Employees"/>
    <x v="4"/>
    <x v="3"/>
    <s v="STAFF-286"/>
    <n v="286"/>
    <x v="0"/>
    <x v="3"/>
    <x v="0"/>
    <s v="Yes"/>
    <n v="39"/>
    <n v="21600"/>
    <n v="3"/>
    <n v="1"/>
    <n v="19"/>
    <n v="28"/>
    <n v="3"/>
    <n v="1"/>
    <n v="4"/>
    <n v="7"/>
    <x v="0"/>
    <m/>
  </r>
  <r>
    <x v="0"/>
    <s v="Non-Travel"/>
    <x v="2"/>
    <s v="Current Employees"/>
    <x v="0"/>
    <x v="5"/>
    <s v="STAFF-287"/>
    <n v="287"/>
    <x v="0"/>
    <x v="5"/>
    <x v="1"/>
    <s v="Yes"/>
    <n v="37"/>
    <n v="62648"/>
    <n v="1"/>
    <n v="3"/>
    <n v="12"/>
    <n v="39"/>
    <n v="2"/>
    <n v="1"/>
    <n v="4"/>
    <n v="21"/>
    <x v="1"/>
    <m/>
  </r>
  <r>
    <x v="0"/>
    <s v="Non-Travel"/>
    <x v="2"/>
    <s v="Current Employees"/>
    <x v="5"/>
    <x v="2"/>
    <s v="STAFF-288"/>
    <n v="288"/>
    <x v="0"/>
    <x v="5"/>
    <x v="1"/>
    <s v="No"/>
    <n v="35"/>
    <n v="117798"/>
    <n v="1"/>
    <n v="3"/>
    <n v="31"/>
    <n v="38"/>
    <n v="4"/>
    <n v="1"/>
    <n v="3"/>
    <n v="7"/>
    <x v="0"/>
    <m/>
  </r>
  <r>
    <x v="1"/>
    <s v="Travel_Rarely"/>
    <x v="2"/>
    <s v="Ex-Employees"/>
    <x v="5"/>
    <x v="4"/>
    <s v="STAFF-289"/>
    <n v="289"/>
    <x v="0"/>
    <x v="4"/>
    <x v="1"/>
    <s v="No"/>
    <n v="52"/>
    <n v="121127"/>
    <n v="2"/>
    <n v="1"/>
    <n v="22"/>
    <n v="22"/>
    <n v="2"/>
    <n v="3"/>
    <n v="3"/>
    <n v="17"/>
    <x v="3"/>
    <m/>
  </r>
  <r>
    <x v="0"/>
    <s v="Travel_Rarely"/>
    <x v="2"/>
    <s v="Current Employees"/>
    <x v="1"/>
    <x v="1"/>
    <s v="STAFF-290"/>
    <n v="290"/>
    <x v="1"/>
    <x v="3"/>
    <x v="2"/>
    <s v="No"/>
    <n v="46"/>
    <n v="53982"/>
    <n v="1"/>
    <n v="4"/>
    <n v="33"/>
    <n v="39"/>
    <n v="6"/>
    <n v="2"/>
    <n v="4"/>
    <n v="8"/>
    <x v="0"/>
    <m/>
  </r>
  <r>
    <x v="0"/>
    <s v="Travel_Frequently"/>
    <x v="3"/>
    <s v="Current Employees"/>
    <x v="2"/>
    <x v="5"/>
    <s v="STAFF-291"/>
    <n v="291"/>
    <x v="0"/>
    <x v="3"/>
    <x v="0"/>
    <s v="Yes"/>
    <n v="58"/>
    <n v="159912"/>
    <n v="2"/>
    <n v="2"/>
    <n v="19"/>
    <n v="33"/>
    <n v="1"/>
    <n v="4"/>
    <n v="3"/>
    <n v="21"/>
    <x v="0"/>
    <m/>
  </r>
  <r>
    <x v="1"/>
    <s v="Non-Travel"/>
    <x v="1"/>
    <s v="Ex-Employees"/>
    <x v="2"/>
    <x v="3"/>
    <s v="STAFF-292"/>
    <n v="292"/>
    <x v="0"/>
    <x v="6"/>
    <x v="1"/>
    <s v="Yes"/>
    <n v="22"/>
    <n v="101542"/>
    <n v="4"/>
    <n v="4"/>
    <n v="19"/>
    <n v="28"/>
    <n v="5"/>
    <n v="3"/>
    <n v="3"/>
    <n v="25"/>
    <x v="4"/>
    <m/>
  </r>
  <r>
    <x v="0"/>
    <s v="Non-Travel"/>
    <x v="1"/>
    <s v="Current Employees"/>
    <x v="2"/>
    <x v="2"/>
    <s v="STAFF-293"/>
    <n v="293"/>
    <x v="0"/>
    <x v="2"/>
    <x v="2"/>
    <s v="Yes"/>
    <n v="22"/>
    <n v="112178"/>
    <n v="1"/>
    <n v="4"/>
    <n v="8"/>
    <n v="32"/>
    <n v="6"/>
    <n v="4"/>
    <n v="4"/>
    <n v="6"/>
    <x v="2"/>
    <m/>
  </r>
  <r>
    <x v="0"/>
    <s v="Travel_Rarely"/>
    <x v="1"/>
    <s v="Current Employees"/>
    <x v="3"/>
    <x v="4"/>
    <s v="STAFF-294"/>
    <n v="294"/>
    <x v="1"/>
    <x v="5"/>
    <x v="1"/>
    <s v="No"/>
    <n v="35"/>
    <n v="71171"/>
    <n v="2"/>
    <n v="1"/>
    <n v="11"/>
    <n v="28"/>
    <n v="6"/>
    <n v="4"/>
    <n v="4"/>
    <n v="28"/>
    <x v="2"/>
    <m/>
  </r>
  <r>
    <x v="1"/>
    <s v="Non-Travel"/>
    <x v="1"/>
    <s v="Ex-Employees"/>
    <x v="4"/>
    <x v="3"/>
    <s v="STAFF-295"/>
    <n v="295"/>
    <x v="1"/>
    <x v="1"/>
    <x v="1"/>
    <s v="Yes"/>
    <n v="54"/>
    <n v="46656"/>
    <n v="4"/>
    <n v="4"/>
    <n v="2"/>
    <n v="15"/>
    <n v="4"/>
    <n v="4"/>
    <n v="3"/>
    <n v="18"/>
    <x v="2"/>
    <m/>
  </r>
  <r>
    <x v="0"/>
    <s v="Travel_Rarely"/>
    <x v="2"/>
    <s v="Current Employees"/>
    <x v="4"/>
    <x v="2"/>
    <s v="STAFF-296"/>
    <n v="296"/>
    <x v="1"/>
    <x v="7"/>
    <x v="1"/>
    <s v="No"/>
    <n v="50"/>
    <n v="61643"/>
    <n v="4"/>
    <n v="3"/>
    <n v="39"/>
    <n v="3"/>
    <n v="5"/>
    <n v="2"/>
    <n v="4"/>
    <n v="27"/>
    <x v="2"/>
    <m/>
  </r>
  <r>
    <x v="0"/>
    <s v="Non-Travel"/>
    <x v="2"/>
    <s v="Current Employees"/>
    <x v="3"/>
    <x v="3"/>
    <s v="STAFF-297"/>
    <n v="297"/>
    <x v="0"/>
    <x v="7"/>
    <x v="1"/>
    <s v="No"/>
    <n v="49"/>
    <n v="24530"/>
    <n v="2"/>
    <n v="4"/>
    <n v="37"/>
    <n v="12"/>
    <n v="3"/>
    <n v="1"/>
    <n v="4"/>
    <n v="11"/>
    <x v="4"/>
    <m/>
  </r>
  <r>
    <x v="0"/>
    <s v="Non-Travel"/>
    <x v="1"/>
    <s v="Current Employees"/>
    <x v="4"/>
    <x v="5"/>
    <s v="STAFF-298"/>
    <n v="298"/>
    <x v="1"/>
    <x v="0"/>
    <x v="0"/>
    <s v="No"/>
    <n v="53"/>
    <n v="178451"/>
    <n v="2"/>
    <n v="4"/>
    <n v="35"/>
    <n v="24"/>
    <n v="0"/>
    <n v="2"/>
    <n v="4"/>
    <n v="19"/>
    <x v="4"/>
    <m/>
  </r>
  <r>
    <x v="0"/>
    <s v="Travel_Rarely"/>
    <x v="1"/>
    <s v="Current Employees"/>
    <x v="5"/>
    <x v="5"/>
    <s v="STAFF-299"/>
    <n v="299"/>
    <x v="1"/>
    <x v="8"/>
    <x v="0"/>
    <s v="No"/>
    <n v="39"/>
    <n v="65368"/>
    <n v="1"/>
    <n v="2"/>
    <n v="12"/>
    <n v="0"/>
    <n v="4"/>
    <n v="3"/>
    <n v="3"/>
    <n v="15"/>
    <x v="2"/>
    <m/>
  </r>
  <r>
    <x v="1"/>
    <s v="Non-Travel"/>
    <x v="2"/>
    <s v="Ex-Employees"/>
    <x v="4"/>
    <x v="5"/>
    <s v="STAFF-300"/>
    <n v="300"/>
    <x v="0"/>
    <x v="3"/>
    <x v="0"/>
    <s v="No"/>
    <n v="50"/>
    <n v="125518"/>
    <n v="4"/>
    <n v="1"/>
    <n v="38"/>
    <n v="38"/>
    <n v="0"/>
    <n v="2"/>
    <n v="4"/>
    <n v="20"/>
    <x v="0"/>
    <m/>
  </r>
  <r>
    <x v="0"/>
    <s v="Travel_Rarely"/>
    <x v="1"/>
    <s v="Current Employees"/>
    <x v="3"/>
    <x v="4"/>
    <s v="STAFF-301"/>
    <n v="301"/>
    <x v="1"/>
    <x v="5"/>
    <x v="2"/>
    <s v="Yes"/>
    <n v="57"/>
    <n v="176147"/>
    <n v="3"/>
    <n v="3"/>
    <n v="5"/>
    <n v="3"/>
    <n v="0"/>
    <n v="4"/>
    <n v="3"/>
    <n v="6"/>
    <x v="3"/>
    <m/>
  </r>
  <r>
    <x v="0"/>
    <s v="Non-Travel"/>
    <x v="2"/>
    <s v="Current Employees"/>
    <x v="2"/>
    <x v="1"/>
    <s v="STAFF-302"/>
    <n v="302"/>
    <x v="0"/>
    <x v="9"/>
    <x v="0"/>
    <s v="No"/>
    <n v="23"/>
    <n v="42412"/>
    <n v="3"/>
    <n v="3"/>
    <n v="23"/>
    <n v="24"/>
    <n v="6"/>
    <n v="1"/>
    <n v="4"/>
    <n v="27"/>
    <x v="0"/>
    <m/>
  </r>
  <r>
    <x v="0"/>
    <s v="Non-Travel"/>
    <x v="2"/>
    <s v="Current Employees"/>
    <x v="4"/>
    <x v="2"/>
    <s v="STAFF-303"/>
    <n v="303"/>
    <x v="1"/>
    <x v="4"/>
    <x v="1"/>
    <s v="Yes"/>
    <n v="34"/>
    <n v="178446"/>
    <n v="1"/>
    <n v="1"/>
    <n v="36"/>
    <n v="40"/>
    <n v="4"/>
    <n v="1"/>
    <n v="4"/>
    <n v="24"/>
    <x v="0"/>
    <m/>
  </r>
  <r>
    <x v="1"/>
    <s v="Travel_Frequently"/>
    <x v="3"/>
    <s v="Ex-Employees"/>
    <x v="0"/>
    <x v="1"/>
    <s v="STAFF-304"/>
    <n v="304"/>
    <x v="1"/>
    <x v="8"/>
    <x v="0"/>
    <s v="No"/>
    <n v="29"/>
    <n v="179032"/>
    <n v="4"/>
    <n v="4"/>
    <n v="31"/>
    <n v="11"/>
    <n v="4"/>
    <n v="2"/>
    <n v="4"/>
    <n v="7"/>
    <x v="1"/>
    <m/>
  </r>
  <r>
    <x v="0"/>
    <s v="Non-Travel"/>
    <x v="2"/>
    <s v="Current Employees"/>
    <x v="4"/>
    <x v="0"/>
    <s v="STAFF-305"/>
    <n v="305"/>
    <x v="1"/>
    <x v="7"/>
    <x v="2"/>
    <s v="No"/>
    <n v="43"/>
    <n v="164909"/>
    <n v="2"/>
    <n v="1"/>
    <n v="40"/>
    <n v="12"/>
    <n v="5"/>
    <n v="3"/>
    <n v="4"/>
    <n v="26"/>
    <x v="1"/>
    <m/>
  </r>
  <r>
    <x v="0"/>
    <s v="Travel_Rarely"/>
    <x v="2"/>
    <s v="Current Employees"/>
    <x v="0"/>
    <x v="4"/>
    <s v="STAFF-306"/>
    <n v="306"/>
    <x v="1"/>
    <x v="1"/>
    <x v="1"/>
    <s v="Yes"/>
    <n v="32"/>
    <n v="68860"/>
    <n v="3"/>
    <n v="3"/>
    <n v="30"/>
    <n v="30"/>
    <n v="6"/>
    <n v="1"/>
    <n v="3"/>
    <n v="16"/>
    <x v="4"/>
    <m/>
  </r>
  <r>
    <x v="0"/>
    <s v="Travel_Frequently"/>
    <x v="4"/>
    <s v="Current Employees"/>
    <x v="2"/>
    <x v="5"/>
    <s v="STAFF-307"/>
    <n v="307"/>
    <x v="1"/>
    <x v="5"/>
    <x v="0"/>
    <s v="No"/>
    <n v="57"/>
    <n v="100707"/>
    <n v="1"/>
    <n v="2"/>
    <n v="36"/>
    <n v="21"/>
    <n v="6"/>
    <n v="3"/>
    <n v="3"/>
    <n v="5"/>
    <x v="3"/>
    <m/>
  </r>
  <r>
    <x v="1"/>
    <s v="Non-Travel"/>
    <x v="1"/>
    <s v="Ex-Employees"/>
    <x v="1"/>
    <x v="1"/>
    <s v="STAFF-308"/>
    <n v="308"/>
    <x v="0"/>
    <x v="2"/>
    <x v="0"/>
    <s v="No"/>
    <n v="32"/>
    <n v="174025"/>
    <n v="1"/>
    <n v="3"/>
    <n v="20"/>
    <n v="2"/>
    <n v="2"/>
    <n v="4"/>
    <n v="3"/>
    <n v="16"/>
    <x v="4"/>
    <m/>
  </r>
  <r>
    <x v="0"/>
    <s v="Travel_Rarely"/>
    <x v="4"/>
    <s v="Current Employees"/>
    <x v="0"/>
    <x v="1"/>
    <s v="STAFF-309"/>
    <n v="309"/>
    <x v="1"/>
    <x v="6"/>
    <x v="2"/>
    <s v="No"/>
    <n v="23"/>
    <n v="70978"/>
    <n v="1"/>
    <n v="4"/>
    <n v="32"/>
    <n v="1"/>
    <n v="6"/>
    <n v="4"/>
    <n v="3"/>
    <n v="7"/>
    <x v="3"/>
    <m/>
  </r>
  <r>
    <x v="1"/>
    <s v="Travel_Frequently"/>
    <x v="2"/>
    <s v="Ex-Employees"/>
    <x v="2"/>
    <x v="2"/>
    <s v="STAFF-310"/>
    <n v="310"/>
    <x v="0"/>
    <x v="0"/>
    <x v="0"/>
    <s v="Yes"/>
    <n v="34"/>
    <n v="27582"/>
    <n v="4"/>
    <n v="4"/>
    <n v="33"/>
    <n v="7"/>
    <n v="0"/>
    <n v="3"/>
    <n v="3"/>
    <n v="22"/>
    <x v="0"/>
    <m/>
  </r>
  <r>
    <x v="1"/>
    <s v="Travel_Rarely"/>
    <x v="1"/>
    <s v="Ex-Employees"/>
    <x v="4"/>
    <x v="1"/>
    <s v="STAFF-311"/>
    <n v="311"/>
    <x v="1"/>
    <x v="5"/>
    <x v="0"/>
    <s v="No"/>
    <n v="34"/>
    <n v="102116"/>
    <n v="2"/>
    <n v="2"/>
    <n v="18"/>
    <n v="17"/>
    <n v="4"/>
    <n v="3"/>
    <n v="4"/>
    <n v="22"/>
    <x v="1"/>
    <m/>
  </r>
  <r>
    <x v="0"/>
    <s v="Travel_Rarely"/>
    <x v="1"/>
    <s v="Current Employees"/>
    <x v="4"/>
    <x v="1"/>
    <s v="STAFF-312"/>
    <n v="312"/>
    <x v="0"/>
    <x v="3"/>
    <x v="0"/>
    <s v="No"/>
    <n v="56"/>
    <n v="101488"/>
    <n v="3"/>
    <n v="2"/>
    <n v="18"/>
    <n v="36"/>
    <n v="1"/>
    <n v="2"/>
    <n v="3"/>
    <n v="10"/>
    <x v="0"/>
    <m/>
  </r>
  <r>
    <x v="1"/>
    <s v="Travel_Rarely"/>
    <x v="2"/>
    <s v="Ex-Employees"/>
    <x v="4"/>
    <x v="4"/>
    <s v="STAFF-313"/>
    <n v="313"/>
    <x v="1"/>
    <x v="5"/>
    <x v="2"/>
    <s v="No"/>
    <n v="24"/>
    <n v="40575"/>
    <n v="4"/>
    <n v="4"/>
    <n v="11"/>
    <n v="38"/>
    <n v="4"/>
    <n v="4"/>
    <n v="4"/>
    <n v="10"/>
    <x v="3"/>
    <m/>
  </r>
  <r>
    <x v="0"/>
    <s v="Non-Travel"/>
    <x v="2"/>
    <s v="Current Employees"/>
    <x v="5"/>
    <x v="4"/>
    <s v="STAFF-314"/>
    <n v="314"/>
    <x v="1"/>
    <x v="2"/>
    <x v="2"/>
    <s v="Yes"/>
    <n v="50"/>
    <n v="43496"/>
    <n v="4"/>
    <n v="3"/>
    <n v="29"/>
    <n v="30"/>
    <n v="1"/>
    <n v="2"/>
    <n v="3"/>
    <n v="28"/>
    <x v="0"/>
    <m/>
  </r>
  <r>
    <x v="0"/>
    <s v="Non-Travel"/>
    <x v="1"/>
    <s v="Current Employees"/>
    <x v="3"/>
    <x v="3"/>
    <s v="STAFF-315"/>
    <n v="315"/>
    <x v="1"/>
    <x v="1"/>
    <x v="1"/>
    <s v="No"/>
    <n v="22"/>
    <n v="35135"/>
    <n v="4"/>
    <n v="1"/>
    <n v="22"/>
    <n v="30"/>
    <n v="3"/>
    <n v="2"/>
    <n v="4"/>
    <n v="25"/>
    <x v="3"/>
    <m/>
  </r>
  <r>
    <x v="0"/>
    <s v="Travel_Frequently"/>
    <x v="1"/>
    <s v="Current Employees"/>
    <x v="4"/>
    <x v="3"/>
    <s v="STAFF-316"/>
    <n v="316"/>
    <x v="0"/>
    <x v="1"/>
    <x v="0"/>
    <s v="Yes"/>
    <n v="40"/>
    <n v="157656"/>
    <n v="4"/>
    <n v="4"/>
    <n v="37"/>
    <n v="26"/>
    <n v="1"/>
    <n v="2"/>
    <n v="3"/>
    <n v="16"/>
    <x v="2"/>
    <m/>
  </r>
  <r>
    <x v="0"/>
    <s v="Non-Travel"/>
    <x v="1"/>
    <s v="Current Employees"/>
    <x v="5"/>
    <x v="5"/>
    <s v="STAFF-317"/>
    <n v="317"/>
    <x v="1"/>
    <x v="2"/>
    <x v="1"/>
    <s v="Yes"/>
    <n v="32"/>
    <n v="38419"/>
    <n v="4"/>
    <n v="1"/>
    <n v="37"/>
    <n v="38"/>
    <n v="3"/>
    <n v="3"/>
    <n v="3"/>
    <n v="27"/>
    <x v="2"/>
    <m/>
  </r>
  <r>
    <x v="0"/>
    <s v="Non-Travel"/>
    <x v="3"/>
    <s v="Current Employees"/>
    <x v="4"/>
    <x v="4"/>
    <s v="STAFF-318"/>
    <n v="318"/>
    <x v="1"/>
    <x v="1"/>
    <x v="1"/>
    <s v="Yes"/>
    <n v="26"/>
    <n v="75045"/>
    <n v="2"/>
    <n v="1"/>
    <n v="9"/>
    <n v="42"/>
    <n v="1"/>
    <n v="4"/>
    <n v="4"/>
    <n v="13"/>
    <x v="0"/>
    <m/>
  </r>
  <r>
    <x v="0"/>
    <s v="Travel_Frequently"/>
    <x v="1"/>
    <s v="Current Employees"/>
    <x v="5"/>
    <x v="2"/>
    <s v="STAFF-319"/>
    <n v="319"/>
    <x v="1"/>
    <x v="7"/>
    <x v="0"/>
    <s v="No"/>
    <n v="26"/>
    <n v="170758"/>
    <n v="1"/>
    <n v="4"/>
    <n v="8"/>
    <n v="18"/>
    <n v="0"/>
    <n v="3"/>
    <n v="3"/>
    <n v="1"/>
    <x v="0"/>
    <m/>
  </r>
  <r>
    <x v="0"/>
    <s v="Travel_Rarely"/>
    <x v="1"/>
    <s v="Current Employees"/>
    <x v="0"/>
    <x v="0"/>
    <s v="STAFF-320"/>
    <n v="320"/>
    <x v="1"/>
    <x v="2"/>
    <x v="1"/>
    <s v="No"/>
    <n v="45"/>
    <n v="124439"/>
    <n v="4"/>
    <n v="4"/>
    <n v="34"/>
    <n v="13"/>
    <n v="5"/>
    <n v="2"/>
    <n v="4"/>
    <n v="5"/>
    <x v="4"/>
    <m/>
  </r>
  <r>
    <x v="0"/>
    <s v="Travel_Frequently"/>
    <x v="4"/>
    <s v="Current Employees"/>
    <x v="0"/>
    <x v="0"/>
    <s v="STAFF-321"/>
    <n v="321"/>
    <x v="1"/>
    <x v="6"/>
    <x v="2"/>
    <s v="Yes"/>
    <n v="25"/>
    <n v="22117"/>
    <n v="2"/>
    <n v="4"/>
    <n v="27"/>
    <n v="8"/>
    <n v="0"/>
    <n v="2"/>
    <n v="4"/>
    <n v="28"/>
    <x v="2"/>
    <m/>
  </r>
  <r>
    <x v="1"/>
    <s v="Non-Travel"/>
    <x v="2"/>
    <s v="Ex-Employees"/>
    <x v="1"/>
    <x v="0"/>
    <s v="STAFF-322"/>
    <n v="322"/>
    <x v="1"/>
    <x v="4"/>
    <x v="1"/>
    <s v="No"/>
    <n v="45"/>
    <n v="111141"/>
    <n v="2"/>
    <n v="2"/>
    <n v="27"/>
    <n v="38"/>
    <n v="0"/>
    <n v="4"/>
    <n v="3"/>
    <n v="23"/>
    <x v="0"/>
    <m/>
  </r>
  <r>
    <x v="0"/>
    <s v="Travel_Frequently"/>
    <x v="4"/>
    <s v="Current Employees"/>
    <x v="2"/>
    <x v="4"/>
    <s v="STAFF-323"/>
    <n v="323"/>
    <x v="0"/>
    <x v="2"/>
    <x v="1"/>
    <s v="No"/>
    <n v="28"/>
    <n v="170113"/>
    <n v="4"/>
    <n v="1"/>
    <n v="9"/>
    <n v="33"/>
    <n v="6"/>
    <n v="3"/>
    <n v="4"/>
    <n v="17"/>
    <x v="1"/>
    <m/>
  </r>
  <r>
    <x v="0"/>
    <s v="Travel_Frequently"/>
    <x v="2"/>
    <s v="Current Employees"/>
    <x v="3"/>
    <x v="3"/>
    <s v="STAFF-324"/>
    <n v="324"/>
    <x v="0"/>
    <x v="4"/>
    <x v="0"/>
    <s v="No"/>
    <n v="60"/>
    <n v="31834"/>
    <n v="3"/>
    <n v="1"/>
    <n v="30"/>
    <n v="29"/>
    <n v="4"/>
    <n v="4"/>
    <n v="4"/>
    <n v="14"/>
    <x v="3"/>
    <m/>
  </r>
  <r>
    <x v="1"/>
    <s v="Travel_Rarely"/>
    <x v="4"/>
    <s v="Ex-Employees"/>
    <x v="0"/>
    <x v="4"/>
    <s v="STAFF-325"/>
    <n v="325"/>
    <x v="1"/>
    <x v="2"/>
    <x v="1"/>
    <s v="Yes"/>
    <n v="51"/>
    <n v="169556"/>
    <n v="2"/>
    <n v="1"/>
    <n v="18"/>
    <n v="39"/>
    <n v="0"/>
    <n v="3"/>
    <n v="4"/>
    <n v="3"/>
    <x v="4"/>
    <m/>
  </r>
  <r>
    <x v="0"/>
    <s v="Travel_Frequently"/>
    <x v="4"/>
    <s v="Current Employees"/>
    <x v="0"/>
    <x v="0"/>
    <s v="STAFF-326"/>
    <n v="326"/>
    <x v="1"/>
    <x v="8"/>
    <x v="1"/>
    <s v="Yes"/>
    <n v="28"/>
    <n v="176288"/>
    <n v="2"/>
    <n v="2"/>
    <n v="28"/>
    <n v="23"/>
    <n v="6"/>
    <n v="2"/>
    <n v="4"/>
    <n v="26"/>
    <x v="4"/>
    <m/>
  </r>
  <r>
    <x v="0"/>
    <s v="Travel_Frequently"/>
    <x v="4"/>
    <s v="Current Employees"/>
    <x v="4"/>
    <x v="4"/>
    <s v="STAFF-327"/>
    <n v="327"/>
    <x v="0"/>
    <x v="2"/>
    <x v="2"/>
    <s v="No"/>
    <n v="47"/>
    <n v="118444"/>
    <n v="2"/>
    <n v="4"/>
    <n v="40"/>
    <n v="10"/>
    <n v="1"/>
    <n v="3"/>
    <n v="3"/>
    <n v="21"/>
    <x v="3"/>
    <m/>
  </r>
  <r>
    <x v="0"/>
    <s v="Travel_Frequently"/>
    <x v="1"/>
    <s v="Current Employees"/>
    <x v="3"/>
    <x v="5"/>
    <s v="STAFF-328"/>
    <n v="328"/>
    <x v="1"/>
    <x v="8"/>
    <x v="1"/>
    <s v="Yes"/>
    <n v="45"/>
    <n v="120254"/>
    <n v="4"/>
    <n v="3"/>
    <n v="9"/>
    <n v="33"/>
    <n v="6"/>
    <n v="4"/>
    <n v="3"/>
    <n v="10"/>
    <x v="2"/>
    <m/>
  </r>
  <r>
    <x v="0"/>
    <s v="Non-Travel"/>
    <x v="1"/>
    <s v="Current Employees"/>
    <x v="2"/>
    <x v="4"/>
    <s v="STAFF-329"/>
    <n v="329"/>
    <x v="0"/>
    <x v="4"/>
    <x v="0"/>
    <s v="No"/>
    <n v="48"/>
    <n v="178035"/>
    <n v="3"/>
    <n v="3"/>
    <n v="17"/>
    <n v="17"/>
    <n v="6"/>
    <n v="1"/>
    <n v="4"/>
    <n v="21"/>
    <x v="0"/>
    <m/>
  </r>
  <r>
    <x v="0"/>
    <s v="Travel_Rarely"/>
    <x v="4"/>
    <s v="Current Employees"/>
    <x v="5"/>
    <x v="3"/>
    <s v="STAFF-330"/>
    <n v="330"/>
    <x v="0"/>
    <x v="4"/>
    <x v="1"/>
    <s v="Yes"/>
    <n v="41"/>
    <n v="161553"/>
    <n v="1"/>
    <n v="1"/>
    <n v="4"/>
    <n v="0"/>
    <n v="3"/>
    <n v="1"/>
    <n v="3"/>
    <n v="22"/>
    <x v="2"/>
    <m/>
  </r>
  <r>
    <x v="0"/>
    <s v="Travel_Rarely"/>
    <x v="2"/>
    <s v="Current Employees"/>
    <x v="0"/>
    <x v="4"/>
    <s v="STAFF-331"/>
    <n v="331"/>
    <x v="0"/>
    <x v="2"/>
    <x v="2"/>
    <s v="Yes"/>
    <n v="59"/>
    <n v="74839"/>
    <n v="1"/>
    <n v="1"/>
    <n v="5"/>
    <n v="38"/>
    <n v="1"/>
    <n v="4"/>
    <n v="3"/>
    <n v="29"/>
    <x v="1"/>
    <m/>
  </r>
  <r>
    <x v="0"/>
    <s v="Non-Travel"/>
    <x v="1"/>
    <s v="Current Employees"/>
    <x v="1"/>
    <x v="4"/>
    <s v="STAFF-332"/>
    <n v="332"/>
    <x v="1"/>
    <x v="8"/>
    <x v="1"/>
    <s v="No"/>
    <n v="37"/>
    <n v="60458"/>
    <n v="1"/>
    <n v="3"/>
    <n v="3"/>
    <n v="24"/>
    <n v="3"/>
    <n v="3"/>
    <n v="3"/>
    <n v="9"/>
    <x v="3"/>
    <m/>
  </r>
  <r>
    <x v="0"/>
    <s v="Non-Travel"/>
    <x v="0"/>
    <s v="Current Employees"/>
    <x v="3"/>
    <x v="5"/>
    <s v="STAFF-333"/>
    <n v="333"/>
    <x v="0"/>
    <x v="9"/>
    <x v="2"/>
    <s v="Yes"/>
    <n v="55"/>
    <n v="131050"/>
    <n v="2"/>
    <n v="1"/>
    <n v="28"/>
    <n v="16"/>
    <n v="0"/>
    <n v="1"/>
    <n v="3"/>
    <n v="3"/>
    <x v="0"/>
    <m/>
  </r>
  <r>
    <x v="0"/>
    <s v="Travel_Frequently"/>
    <x v="4"/>
    <s v="Current Employees"/>
    <x v="4"/>
    <x v="0"/>
    <s v="STAFF-334"/>
    <n v="334"/>
    <x v="0"/>
    <x v="5"/>
    <x v="0"/>
    <s v="No"/>
    <n v="38"/>
    <n v="57742"/>
    <n v="3"/>
    <n v="4"/>
    <n v="36"/>
    <n v="0"/>
    <n v="4"/>
    <n v="4"/>
    <n v="4"/>
    <n v="14"/>
    <x v="2"/>
    <m/>
  </r>
  <r>
    <x v="1"/>
    <s v="Non-Travel"/>
    <x v="4"/>
    <s v="Ex-Employees"/>
    <x v="4"/>
    <x v="0"/>
    <s v="STAFF-335"/>
    <n v="335"/>
    <x v="0"/>
    <x v="7"/>
    <x v="0"/>
    <s v="No"/>
    <n v="28"/>
    <n v="166699"/>
    <n v="3"/>
    <n v="3"/>
    <n v="19"/>
    <n v="25"/>
    <n v="0"/>
    <n v="1"/>
    <n v="4"/>
    <n v="18"/>
    <x v="3"/>
    <m/>
  </r>
  <r>
    <x v="0"/>
    <s v="Non-Travel"/>
    <x v="2"/>
    <s v="Current Employees"/>
    <x v="0"/>
    <x v="0"/>
    <s v="STAFF-336"/>
    <n v="336"/>
    <x v="0"/>
    <x v="4"/>
    <x v="2"/>
    <s v="No"/>
    <n v="33"/>
    <n v="96347"/>
    <n v="4"/>
    <n v="1"/>
    <n v="40"/>
    <n v="22"/>
    <n v="3"/>
    <n v="1"/>
    <n v="4"/>
    <n v="24"/>
    <x v="4"/>
    <m/>
  </r>
  <r>
    <x v="0"/>
    <s v="Non-Travel"/>
    <x v="1"/>
    <s v="Current Employees"/>
    <x v="5"/>
    <x v="0"/>
    <s v="STAFF-337"/>
    <n v="337"/>
    <x v="1"/>
    <x v="7"/>
    <x v="2"/>
    <s v="No"/>
    <n v="52"/>
    <n v="157969"/>
    <n v="4"/>
    <n v="1"/>
    <n v="2"/>
    <n v="21"/>
    <n v="0"/>
    <n v="3"/>
    <n v="3"/>
    <n v="13"/>
    <x v="1"/>
    <m/>
  </r>
  <r>
    <x v="0"/>
    <s v="Travel_Frequently"/>
    <x v="2"/>
    <s v="Current Employees"/>
    <x v="2"/>
    <x v="3"/>
    <s v="STAFF-338"/>
    <n v="338"/>
    <x v="0"/>
    <x v="2"/>
    <x v="2"/>
    <s v="Yes"/>
    <n v="23"/>
    <n v="55117"/>
    <n v="4"/>
    <n v="1"/>
    <n v="30"/>
    <n v="39"/>
    <n v="0"/>
    <n v="2"/>
    <n v="3"/>
    <n v="1"/>
    <x v="4"/>
    <m/>
  </r>
  <r>
    <x v="0"/>
    <s v="Travel_Frequently"/>
    <x v="4"/>
    <s v="Current Employees"/>
    <x v="4"/>
    <x v="1"/>
    <s v="STAFF-339"/>
    <n v="339"/>
    <x v="0"/>
    <x v="2"/>
    <x v="2"/>
    <s v="Yes"/>
    <n v="28"/>
    <n v="148323"/>
    <n v="2"/>
    <n v="1"/>
    <n v="12"/>
    <n v="27"/>
    <n v="2"/>
    <n v="4"/>
    <n v="4"/>
    <n v="4"/>
    <x v="0"/>
    <m/>
  </r>
  <r>
    <x v="0"/>
    <s v="Travel_Rarely"/>
    <x v="1"/>
    <s v="Current Employees"/>
    <x v="3"/>
    <x v="1"/>
    <s v="STAFF-340"/>
    <n v="340"/>
    <x v="0"/>
    <x v="1"/>
    <x v="2"/>
    <s v="Yes"/>
    <n v="38"/>
    <n v="55024"/>
    <n v="4"/>
    <n v="2"/>
    <n v="23"/>
    <n v="35"/>
    <n v="1"/>
    <n v="4"/>
    <n v="3"/>
    <n v="30"/>
    <x v="0"/>
    <m/>
  </r>
  <r>
    <x v="0"/>
    <s v="Non-Travel"/>
    <x v="0"/>
    <s v="Current Employees"/>
    <x v="5"/>
    <x v="5"/>
    <s v="STAFF-341"/>
    <n v="341"/>
    <x v="0"/>
    <x v="5"/>
    <x v="1"/>
    <s v="Yes"/>
    <n v="21"/>
    <n v="19893"/>
    <n v="2"/>
    <n v="1"/>
    <n v="37"/>
    <n v="18"/>
    <n v="3"/>
    <n v="4"/>
    <n v="3"/>
    <n v="7"/>
    <x v="4"/>
    <m/>
  </r>
  <r>
    <x v="0"/>
    <s v="Travel_Rarely"/>
    <x v="2"/>
    <s v="Current Employees"/>
    <x v="1"/>
    <x v="0"/>
    <s v="STAFF-342"/>
    <n v="342"/>
    <x v="0"/>
    <x v="2"/>
    <x v="2"/>
    <s v="No"/>
    <n v="60"/>
    <n v="41074"/>
    <n v="3"/>
    <n v="3"/>
    <n v="26"/>
    <n v="0"/>
    <n v="4"/>
    <n v="2"/>
    <n v="3"/>
    <n v="4"/>
    <x v="0"/>
    <m/>
  </r>
  <r>
    <x v="1"/>
    <s v="Non-Travel"/>
    <x v="2"/>
    <s v="Ex-Employees"/>
    <x v="2"/>
    <x v="0"/>
    <s v="STAFF-343"/>
    <n v="343"/>
    <x v="1"/>
    <x v="3"/>
    <x v="1"/>
    <s v="Yes"/>
    <n v="33"/>
    <n v="47538"/>
    <n v="2"/>
    <n v="4"/>
    <n v="31"/>
    <n v="11"/>
    <n v="1"/>
    <n v="1"/>
    <n v="3"/>
    <n v="21"/>
    <x v="3"/>
    <m/>
  </r>
  <r>
    <x v="0"/>
    <s v="Non-Travel"/>
    <x v="1"/>
    <s v="Current Employees"/>
    <x v="0"/>
    <x v="5"/>
    <s v="STAFF-344"/>
    <n v="344"/>
    <x v="0"/>
    <x v="0"/>
    <x v="0"/>
    <s v="Yes"/>
    <n v="55"/>
    <n v="64107"/>
    <n v="2"/>
    <n v="1"/>
    <n v="31"/>
    <n v="32"/>
    <n v="0"/>
    <n v="1"/>
    <n v="3"/>
    <n v="24"/>
    <x v="2"/>
    <m/>
  </r>
  <r>
    <x v="0"/>
    <s v="Non-Travel"/>
    <x v="1"/>
    <s v="Current Employees"/>
    <x v="3"/>
    <x v="3"/>
    <s v="STAFF-345"/>
    <n v="345"/>
    <x v="1"/>
    <x v="3"/>
    <x v="2"/>
    <s v="No"/>
    <n v="35"/>
    <n v="43706"/>
    <n v="2"/>
    <n v="4"/>
    <n v="12"/>
    <n v="24"/>
    <n v="1"/>
    <n v="1"/>
    <n v="4"/>
    <n v="19"/>
    <x v="2"/>
    <m/>
  </r>
  <r>
    <x v="0"/>
    <s v="Non-Travel"/>
    <x v="1"/>
    <s v="Current Employees"/>
    <x v="3"/>
    <x v="5"/>
    <s v="STAFF-346"/>
    <n v="346"/>
    <x v="0"/>
    <x v="7"/>
    <x v="1"/>
    <s v="Yes"/>
    <n v="50"/>
    <n v="68896"/>
    <n v="3"/>
    <n v="3"/>
    <n v="12"/>
    <n v="21"/>
    <n v="1"/>
    <n v="1"/>
    <n v="3"/>
    <n v="9"/>
    <x v="4"/>
    <m/>
  </r>
  <r>
    <x v="0"/>
    <s v="Travel_Rarely"/>
    <x v="2"/>
    <s v="Current Employees"/>
    <x v="1"/>
    <x v="2"/>
    <s v="STAFF-347"/>
    <n v="347"/>
    <x v="0"/>
    <x v="8"/>
    <x v="0"/>
    <s v="Yes"/>
    <n v="60"/>
    <n v="62547"/>
    <n v="2"/>
    <n v="1"/>
    <n v="26"/>
    <n v="33"/>
    <n v="3"/>
    <n v="2"/>
    <n v="4"/>
    <n v="27"/>
    <x v="2"/>
    <m/>
  </r>
  <r>
    <x v="0"/>
    <s v="Travel_Rarely"/>
    <x v="2"/>
    <s v="Current Employees"/>
    <x v="5"/>
    <x v="0"/>
    <s v="STAFF-348"/>
    <n v="348"/>
    <x v="1"/>
    <x v="7"/>
    <x v="0"/>
    <s v="Yes"/>
    <n v="58"/>
    <n v="57051"/>
    <n v="1"/>
    <n v="4"/>
    <n v="2"/>
    <n v="2"/>
    <n v="3"/>
    <n v="1"/>
    <n v="4"/>
    <n v="17"/>
    <x v="2"/>
    <m/>
  </r>
  <r>
    <x v="0"/>
    <s v="Travel_Frequently"/>
    <x v="4"/>
    <s v="Current Employees"/>
    <x v="4"/>
    <x v="5"/>
    <s v="STAFF-349"/>
    <n v="349"/>
    <x v="0"/>
    <x v="0"/>
    <x v="0"/>
    <s v="Yes"/>
    <n v="47"/>
    <n v="75149"/>
    <n v="2"/>
    <n v="3"/>
    <n v="18"/>
    <n v="15"/>
    <n v="5"/>
    <n v="1"/>
    <n v="3"/>
    <n v="16"/>
    <x v="3"/>
    <m/>
  </r>
  <r>
    <x v="0"/>
    <s v="Non-Travel"/>
    <x v="2"/>
    <s v="Current Employees"/>
    <x v="2"/>
    <x v="1"/>
    <s v="STAFF-350"/>
    <n v="350"/>
    <x v="0"/>
    <x v="9"/>
    <x v="1"/>
    <s v="Yes"/>
    <n v="46"/>
    <n v="66482"/>
    <n v="3"/>
    <n v="4"/>
    <n v="40"/>
    <n v="0"/>
    <n v="6"/>
    <n v="1"/>
    <n v="4"/>
    <n v="29"/>
    <x v="3"/>
    <m/>
  </r>
  <r>
    <x v="0"/>
    <s v="Non-Travel"/>
    <x v="1"/>
    <s v="Current Employees"/>
    <x v="0"/>
    <x v="1"/>
    <s v="STAFF-351"/>
    <n v="351"/>
    <x v="0"/>
    <x v="0"/>
    <x v="0"/>
    <s v="No"/>
    <n v="24"/>
    <n v="152935"/>
    <n v="3"/>
    <n v="1"/>
    <n v="7"/>
    <n v="24"/>
    <n v="2"/>
    <n v="4"/>
    <n v="3"/>
    <n v="12"/>
    <x v="3"/>
    <m/>
  </r>
  <r>
    <x v="0"/>
    <s v="Non-Travel"/>
    <x v="2"/>
    <s v="Current Employees"/>
    <x v="4"/>
    <x v="3"/>
    <s v="STAFF-352"/>
    <n v="352"/>
    <x v="0"/>
    <x v="6"/>
    <x v="1"/>
    <s v="Yes"/>
    <n v="55"/>
    <n v="47768"/>
    <n v="4"/>
    <n v="2"/>
    <n v="14"/>
    <n v="20"/>
    <n v="2"/>
    <n v="3"/>
    <n v="4"/>
    <n v="9"/>
    <x v="1"/>
    <m/>
  </r>
  <r>
    <x v="0"/>
    <s v="Non-Travel"/>
    <x v="1"/>
    <s v="Current Employees"/>
    <x v="1"/>
    <x v="1"/>
    <s v="STAFF-353"/>
    <n v="353"/>
    <x v="0"/>
    <x v="9"/>
    <x v="0"/>
    <s v="No"/>
    <n v="49"/>
    <n v="114507"/>
    <n v="1"/>
    <n v="2"/>
    <n v="29"/>
    <n v="5"/>
    <n v="0"/>
    <n v="4"/>
    <n v="3"/>
    <n v="10"/>
    <x v="1"/>
    <m/>
  </r>
  <r>
    <x v="0"/>
    <s v="Travel_Rarely"/>
    <x v="1"/>
    <s v="Current Employees"/>
    <x v="5"/>
    <x v="5"/>
    <s v="STAFF-354"/>
    <n v="354"/>
    <x v="0"/>
    <x v="3"/>
    <x v="0"/>
    <s v="Yes"/>
    <n v="39"/>
    <n v="127192"/>
    <n v="2"/>
    <n v="4"/>
    <n v="22"/>
    <n v="26"/>
    <n v="3"/>
    <n v="1"/>
    <n v="4"/>
    <n v="7"/>
    <x v="1"/>
    <m/>
  </r>
  <r>
    <x v="0"/>
    <s v="Non-Travel"/>
    <x v="4"/>
    <s v="Current Employees"/>
    <x v="2"/>
    <x v="2"/>
    <s v="STAFF-355"/>
    <n v="355"/>
    <x v="1"/>
    <x v="2"/>
    <x v="1"/>
    <s v="No"/>
    <n v="52"/>
    <n v="173545"/>
    <n v="4"/>
    <n v="4"/>
    <n v="19"/>
    <n v="36"/>
    <n v="1"/>
    <n v="3"/>
    <n v="3"/>
    <n v="26"/>
    <x v="3"/>
    <m/>
  </r>
  <r>
    <x v="0"/>
    <s v="Travel_Rarely"/>
    <x v="1"/>
    <s v="Current Employees"/>
    <x v="0"/>
    <x v="0"/>
    <s v="STAFF-356"/>
    <n v="356"/>
    <x v="1"/>
    <x v="8"/>
    <x v="1"/>
    <s v="Yes"/>
    <n v="60"/>
    <n v="60150"/>
    <n v="3"/>
    <n v="2"/>
    <n v="11"/>
    <n v="42"/>
    <n v="6"/>
    <n v="2"/>
    <n v="3"/>
    <n v="8"/>
    <x v="1"/>
    <m/>
  </r>
  <r>
    <x v="0"/>
    <s v="Travel_Frequently"/>
    <x v="1"/>
    <s v="Current Employees"/>
    <x v="3"/>
    <x v="2"/>
    <s v="STAFF-357"/>
    <n v="357"/>
    <x v="1"/>
    <x v="6"/>
    <x v="2"/>
    <s v="Yes"/>
    <n v="41"/>
    <n v="108137"/>
    <n v="2"/>
    <n v="3"/>
    <n v="28"/>
    <n v="34"/>
    <n v="1"/>
    <n v="3"/>
    <n v="3"/>
    <n v="30"/>
    <x v="1"/>
    <m/>
  </r>
  <r>
    <x v="0"/>
    <s v="Travel_Frequently"/>
    <x v="2"/>
    <s v="Current Employees"/>
    <x v="3"/>
    <x v="2"/>
    <s v="STAFF-358"/>
    <n v="358"/>
    <x v="0"/>
    <x v="5"/>
    <x v="0"/>
    <s v="No"/>
    <n v="39"/>
    <n v="142232"/>
    <n v="3"/>
    <n v="2"/>
    <n v="36"/>
    <n v="28"/>
    <n v="2"/>
    <n v="1"/>
    <n v="4"/>
    <n v="29"/>
    <x v="1"/>
    <m/>
  </r>
  <r>
    <x v="0"/>
    <s v="Travel_Rarely"/>
    <x v="2"/>
    <s v="Current Employees"/>
    <x v="0"/>
    <x v="5"/>
    <s v="STAFF-359"/>
    <n v="359"/>
    <x v="0"/>
    <x v="9"/>
    <x v="1"/>
    <s v="Yes"/>
    <n v="41"/>
    <n v="32426"/>
    <n v="2"/>
    <n v="2"/>
    <n v="17"/>
    <n v="12"/>
    <n v="0"/>
    <n v="1"/>
    <n v="4"/>
    <n v="22"/>
    <x v="1"/>
    <m/>
  </r>
  <r>
    <x v="1"/>
    <s v="Travel_Frequently"/>
    <x v="1"/>
    <s v="Ex-Employees"/>
    <x v="1"/>
    <x v="1"/>
    <s v="STAFF-360"/>
    <n v="360"/>
    <x v="0"/>
    <x v="1"/>
    <x v="1"/>
    <s v="Yes"/>
    <n v="48"/>
    <n v="114896"/>
    <n v="4"/>
    <n v="3"/>
    <n v="0"/>
    <n v="18"/>
    <n v="2"/>
    <n v="3"/>
    <n v="4"/>
    <n v="15"/>
    <x v="0"/>
    <m/>
  </r>
  <r>
    <x v="0"/>
    <s v="Non-Travel"/>
    <x v="2"/>
    <s v="Current Employees"/>
    <x v="1"/>
    <x v="5"/>
    <s v="STAFF-361"/>
    <n v="361"/>
    <x v="1"/>
    <x v="8"/>
    <x v="2"/>
    <s v="No"/>
    <n v="47"/>
    <n v="54586"/>
    <n v="1"/>
    <n v="2"/>
    <n v="13"/>
    <n v="19"/>
    <n v="3"/>
    <n v="3"/>
    <n v="3"/>
    <n v="30"/>
    <x v="0"/>
    <m/>
  </r>
  <r>
    <x v="0"/>
    <s v="Non-Travel"/>
    <x v="0"/>
    <s v="Current Employees"/>
    <x v="1"/>
    <x v="2"/>
    <s v="STAFF-362"/>
    <n v="362"/>
    <x v="1"/>
    <x v="6"/>
    <x v="0"/>
    <s v="No"/>
    <n v="57"/>
    <n v="53894"/>
    <n v="2"/>
    <n v="2"/>
    <n v="24"/>
    <n v="18"/>
    <n v="4"/>
    <n v="4"/>
    <n v="3"/>
    <n v="27"/>
    <x v="3"/>
    <m/>
  </r>
  <r>
    <x v="0"/>
    <s v="Non-Travel"/>
    <x v="1"/>
    <s v="Current Employees"/>
    <x v="2"/>
    <x v="5"/>
    <s v="STAFF-363"/>
    <n v="363"/>
    <x v="0"/>
    <x v="5"/>
    <x v="2"/>
    <s v="Yes"/>
    <n v="37"/>
    <n v="96687"/>
    <n v="4"/>
    <n v="1"/>
    <n v="18"/>
    <n v="26"/>
    <n v="1"/>
    <n v="4"/>
    <n v="3"/>
    <n v="1"/>
    <x v="1"/>
    <m/>
  </r>
  <r>
    <x v="0"/>
    <s v="Non-Travel"/>
    <x v="2"/>
    <s v="Current Employees"/>
    <x v="4"/>
    <x v="3"/>
    <s v="STAFF-364"/>
    <n v="364"/>
    <x v="1"/>
    <x v="2"/>
    <x v="1"/>
    <s v="No"/>
    <n v="37"/>
    <n v="142791"/>
    <n v="1"/>
    <n v="3"/>
    <n v="32"/>
    <n v="36"/>
    <n v="0"/>
    <n v="3"/>
    <n v="3"/>
    <n v="19"/>
    <x v="1"/>
    <m/>
  </r>
  <r>
    <x v="0"/>
    <s v="Travel_Rarely"/>
    <x v="2"/>
    <s v="Current Employees"/>
    <x v="5"/>
    <x v="2"/>
    <s v="STAFF-365"/>
    <n v="365"/>
    <x v="0"/>
    <x v="5"/>
    <x v="1"/>
    <s v="No"/>
    <n v="47"/>
    <n v="111319"/>
    <n v="1"/>
    <n v="3"/>
    <n v="18"/>
    <n v="33"/>
    <n v="5"/>
    <n v="1"/>
    <n v="3"/>
    <n v="25"/>
    <x v="4"/>
    <m/>
  </r>
  <r>
    <x v="0"/>
    <s v="Non-Travel"/>
    <x v="2"/>
    <s v="Current Employees"/>
    <x v="3"/>
    <x v="2"/>
    <s v="STAFF-366"/>
    <n v="366"/>
    <x v="1"/>
    <x v="8"/>
    <x v="1"/>
    <s v="No"/>
    <n v="27"/>
    <n v="158095"/>
    <n v="3"/>
    <n v="2"/>
    <n v="0"/>
    <n v="8"/>
    <n v="4"/>
    <n v="3"/>
    <n v="4"/>
    <n v="25"/>
    <x v="2"/>
    <m/>
  </r>
  <r>
    <x v="0"/>
    <s v="Travel_Rarely"/>
    <x v="4"/>
    <s v="Current Employees"/>
    <x v="3"/>
    <x v="0"/>
    <s v="STAFF-367"/>
    <n v="367"/>
    <x v="0"/>
    <x v="4"/>
    <x v="2"/>
    <s v="Yes"/>
    <n v="56"/>
    <n v="178806"/>
    <n v="1"/>
    <n v="4"/>
    <n v="29"/>
    <n v="4"/>
    <n v="0"/>
    <n v="2"/>
    <n v="3"/>
    <n v="16"/>
    <x v="3"/>
    <m/>
  </r>
  <r>
    <x v="0"/>
    <s v="Non-Travel"/>
    <x v="1"/>
    <s v="Current Employees"/>
    <x v="1"/>
    <x v="1"/>
    <s v="STAFF-368"/>
    <n v="368"/>
    <x v="1"/>
    <x v="6"/>
    <x v="0"/>
    <s v="No"/>
    <n v="22"/>
    <n v="49089"/>
    <n v="2"/>
    <n v="2"/>
    <n v="9"/>
    <n v="14"/>
    <n v="2"/>
    <n v="2"/>
    <n v="3"/>
    <n v="5"/>
    <x v="1"/>
    <m/>
  </r>
  <r>
    <x v="0"/>
    <s v="Travel_Rarely"/>
    <x v="4"/>
    <s v="Current Employees"/>
    <x v="4"/>
    <x v="4"/>
    <s v="STAFF-369"/>
    <n v="369"/>
    <x v="1"/>
    <x v="7"/>
    <x v="2"/>
    <s v="Yes"/>
    <n v="27"/>
    <n v="26596"/>
    <n v="1"/>
    <n v="4"/>
    <n v="7"/>
    <n v="16"/>
    <n v="0"/>
    <n v="1"/>
    <n v="4"/>
    <n v="22"/>
    <x v="1"/>
    <m/>
  </r>
  <r>
    <x v="0"/>
    <s v="Travel_Rarely"/>
    <x v="4"/>
    <s v="Current Employees"/>
    <x v="2"/>
    <x v="1"/>
    <s v="STAFF-370"/>
    <n v="370"/>
    <x v="0"/>
    <x v="6"/>
    <x v="0"/>
    <s v="No"/>
    <n v="22"/>
    <n v="41797"/>
    <n v="2"/>
    <n v="3"/>
    <n v="37"/>
    <n v="22"/>
    <n v="2"/>
    <n v="2"/>
    <n v="3"/>
    <n v="17"/>
    <x v="0"/>
    <m/>
  </r>
  <r>
    <x v="0"/>
    <s v="Non-Travel"/>
    <x v="4"/>
    <s v="Current Employees"/>
    <x v="4"/>
    <x v="0"/>
    <s v="STAFF-371"/>
    <n v="371"/>
    <x v="0"/>
    <x v="8"/>
    <x v="2"/>
    <s v="Yes"/>
    <n v="27"/>
    <n v="74102"/>
    <n v="4"/>
    <n v="3"/>
    <n v="37"/>
    <n v="11"/>
    <n v="3"/>
    <n v="1"/>
    <n v="3"/>
    <n v="27"/>
    <x v="3"/>
    <m/>
  </r>
  <r>
    <x v="1"/>
    <s v="Travel_Rarely"/>
    <x v="1"/>
    <s v="Ex-Employees"/>
    <x v="2"/>
    <x v="5"/>
    <s v="STAFF-372"/>
    <n v="372"/>
    <x v="0"/>
    <x v="1"/>
    <x v="2"/>
    <s v="No"/>
    <n v="28"/>
    <n v="154243"/>
    <n v="2"/>
    <n v="4"/>
    <n v="23"/>
    <n v="18"/>
    <n v="4"/>
    <n v="1"/>
    <n v="3"/>
    <n v="11"/>
    <x v="2"/>
    <m/>
  </r>
  <r>
    <x v="0"/>
    <s v="Non-Travel"/>
    <x v="1"/>
    <s v="Current Employees"/>
    <x v="2"/>
    <x v="2"/>
    <s v="STAFF-373"/>
    <n v="373"/>
    <x v="1"/>
    <x v="3"/>
    <x v="0"/>
    <s v="No"/>
    <n v="39"/>
    <n v="130187"/>
    <n v="2"/>
    <n v="1"/>
    <n v="30"/>
    <n v="23"/>
    <n v="1"/>
    <n v="1"/>
    <n v="4"/>
    <n v="22"/>
    <x v="1"/>
    <m/>
  </r>
  <r>
    <x v="0"/>
    <s v="Travel_Rarely"/>
    <x v="2"/>
    <s v="Current Employees"/>
    <x v="5"/>
    <x v="4"/>
    <s v="STAFF-374"/>
    <n v="374"/>
    <x v="0"/>
    <x v="7"/>
    <x v="1"/>
    <s v="Yes"/>
    <n v="31"/>
    <n v="34963"/>
    <n v="3"/>
    <n v="2"/>
    <n v="21"/>
    <n v="12"/>
    <n v="4"/>
    <n v="4"/>
    <n v="3"/>
    <n v="8"/>
    <x v="2"/>
    <m/>
  </r>
  <r>
    <x v="0"/>
    <s v="Non-Travel"/>
    <x v="1"/>
    <s v="Current Employees"/>
    <x v="5"/>
    <x v="1"/>
    <s v="STAFF-375"/>
    <n v="375"/>
    <x v="1"/>
    <x v="7"/>
    <x v="1"/>
    <s v="No"/>
    <n v="59"/>
    <n v="124022"/>
    <n v="4"/>
    <n v="3"/>
    <n v="9"/>
    <n v="29"/>
    <n v="0"/>
    <n v="1"/>
    <n v="4"/>
    <n v="16"/>
    <x v="2"/>
    <m/>
  </r>
  <r>
    <x v="0"/>
    <s v="Travel_Rarely"/>
    <x v="4"/>
    <s v="Current Employees"/>
    <x v="4"/>
    <x v="3"/>
    <s v="STAFF-376"/>
    <n v="376"/>
    <x v="0"/>
    <x v="0"/>
    <x v="1"/>
    <s v="Yes"/>
    <n v="32"/>
    <n v="118304"/>
    <n v="3"/>
    <n v="2"/>
    <n v="19"/>
    <n v="39"/>
    <n v="4"/>
    <n v="1"/>
    <n v="3"/>
    <n v="22"/>
    <x v="0"/>
    <m/>
  </r>
  <r>
    <x v="0"/>
    <s v="Travel_Frequently"/>
    <x v="4"/>
    <s v="Current Employees"/>
    <x v="3"/>
    <x v="3"/>
    <s v="STAFF-377"/>
    <n v="377"/>
    <x v="1"/>
    <x v="9"/>
    <x v="0"/>
    <s v="No"/>
    <n v="55"/>
    <n v="108076"/>
    <n v="1"/>
    <n v="1"/>
    <n v="27"/>
    <n v="7"/>
    <n v="3"/>
    <n v="4"/>
    <n v="4"/>
    <n v="28"/>
    <x v="2"/>
    <m/>
  </r>
  <r>
    <x v="0"/>
    <s v="Non-Travel"/>
    <x v="0"/>
    <s v="Current Employees"/>
    <x v="3"/>
    <x v="3"/>
    <s v="STAFF-378"/>
    <n v="378"/>
    <x v="1"/>
    <x v="6"/>
    <x v="1"/>
    <s v="No"/>
    <n v="29"/>
    <n v="99909"/>
    <n v="4"/>
    <n v="4"/>
    <n v="7"/>
    <n v="36"/>
    <n v="5"/>
    <n v="4"/>
    <n v="4"/>
    <n v="16"/>
    <x v="0"/>
    <m/>
  </r>
  <r>
    <x v="1"/>
    <s v="Travel_Frequently"/>
    <x v="2"/>
    <s v="Ex-Employees"/>
    <x v="1"/>
    <x v="5"/>
    <s v="STAFF-379"/>
    <n v="379"/>
    <x v="1"/>
    <x v="2"/>
    <x v="0"/>
    <s v="No"/>
    <n v="39"/>
    <n v="102012"/>
    <n v="1"/>
    <n v="1"/>
    <n v="37"/>
    <n v="2"/>
    <n v="1"/>
    <n v="3"/>
    <n v="4"/>
    <n v="26"/>
    <x v="0"/>
    <m/>
  </r>
  <r>
    <x v="0"/>
    <s v="Travel_Frequently"/>
    <x v="4"/>
    <s v="Current Employees"/>
    <x v="0"/>
    <x v="4"/>
    <s v="STAFF-380"/>
    <n v="380"/>
    <x v="1"/>
    <x v="1"/>
    <x v="1"/>
    <s v="No"/>
    <n v="43"/>
    <n v="32797"/>
    <n v="2"/>
    <n v="2"/>
    <n v="15"/>
    <n v="41"/>
    <n v="2"/>
    <n v="1"/>
    <n v="3"/>
    <n v="28"/>
    <x v="3"/>
    <m/>
  </r>
  <r>
    <x v="0"/>
    <s v="Travel_Frequently"/>
    <x v="1"/>
    <s v="Current Employees"/>
    <x v="2"/>
    <x v="4"/>
    <s v="STAFF-381"/>
    <n v="381"/>
    <x v="1"/>
    <x v="7"/>
    <x v="0"/>
    <s v="No"/>
    <n v="38"/>
    <n v="23348"/>
    <n v="4"/>
    <n v="1"/>
    <n v="20"/>
    <n v="24"/>
    <n v="4"/>
    <n v="4"/>
    <n v="4"/>
    <n v="19"/>
    <x v="1"/>
    <m/>
  </r>
  <r>
    <x v="0"/>
    <s v="Travel_Rarely"/>
    <x v="1"/>
    <s v="Current Employees"/>
    <x v="5"/>
    <x v="2"/>
    <s v="STAFF-382"/>
    <n v="382"/>
    <x v="1"/>
    <x v="4"/>
    <x v="0"/>
    <s v="No"/>
    <n v="31"/>
    <n v="179173"/>
    <n v="3"/>
    <n v="3"/>
    <n v="27"/>
    <n v="12"/>
    <n v="3"/>
    <n v="1"/>
    <n v="3"/>
    <n v="10"/>
    <x v="3"/>
    <m/>
  </r>
  <r>
    <x v="0"/>
    <s v="Travel_Rarely"/>
    <x v="3"/>
    <s v="Current Employees"/>
    <x v="1"/>
    <x v="1"/>
    <s v="STAFF-383"/>
    <n v="383"/>
    <x v="0"/>
    <x v="2"/>
    <x v="2"/>
    <s v="No"/>
    <n v="38"/>
    <n v="35634"/>
    <n v="4"/>
    <n v="4"/>
    <n v="13"/>
    <n v="22"/>
    <n v="6"/>
    <n v="1"/>
    <n v="4"/>
    <n v="17"/>
    <x v="3"/>
    <m/>
  </r>
  <r>
    <x v="0"/>
    <s v="Travel_Frequently"/>
    <x v="2"/>
    <s v="Current Employees"/>
    <x v="3"/>
    <x v="5"/>
    <s v="STAFF-384"/>
    <n v="384"/>
    <x v="1"/>
    <x v="2"/>
    <x v="0"/>
    <s v="No"/>
    <n v="56"/>
    <n v="65343"/>
    <n v="1"/>
    <n v="2"/>
    <n v="36"/>
    <n v="31"/>
    <n v="1"/>
    <n v="4"/>
    <n v="4"/>
    <n v="30"/>
    <x v="0"/>
    <m/>
  </r>
  <r>
    <x v="0"/>
    <s v="Non-Travel"/>
    <x v="4"/>
    <s v="Current Employees"/>
    <x v="1"/>
    <x v="3"/>
    <s v="STAFF-385"/>
    <n v="385"/>
    <x v="0"/>
    <x v="4"/>
    <x v="2"/>
    <s v="No"/>
    <n v="50"/>
    <n v="56730"/>
    <n v="2"/>
    <n v="2"/>
    <n v="19"/>
    <n v="27"/>
    <n v="3"/>
    <n v="3"/>
    <n v="3"/>
    <n v="21"/>
    <x v="4"/>
    <m/>
  </r>
  <r>
    <x v="1"/>
    <s v="Non-Travel"/>
    <x v="1"/>
    <s v="Ex-Employees"/>
    <x v="0"/>
    <x v="0"/>
    <s v="STAFF-386"/>
    <n v="386"/>
    <x v="1"/>
    <x v="2"/>
    <x v="2"/>
    <s v="No"/>
    <n v="36"/>
    <n v="47768"/>
    <n v="2"/>
    <n v="2"/>
    <n v="1"/>
    <n v="15"/>
    <n v="6"/>
    <n v="3"/>
    <n v="4"/>
    <n v="16"/>
    <x v="0"/>
    <m/>
  </r>
  <r>
    <x v="1"/>
    <s v="Travel_Rarely"/>
    <x v="1"/>
    <s v="Ex-Employees"/>
    <x v="4"/>
    <x v="0"/>
    <s v="STAFF-387"/>
    <n v="387"/>
    <x v="1"/>
    <x v="6"/>
    <x v="2"/>
    <s v="No"/>
    <n v="38"/>
    <n v="162364"/>
    <n v="2"/>
    <n v="1"/>
    <n v="31"/>
    <n v="1"/>
    <n v="0"/>
    <n v="1"/>
    <n v="4"/>
    <n v="20"/>
    <x v="3"/>
    <m/>
  </r>
  <r>
    <x v="1"/>
    <s v="Travel_Frequently"/>
    <x v="4"/>
    <s v="Ex-Employees"/>
    <x v="1"/>
    <x v="3"/>
    <s v="STAFF-388"/>
    <n v="388"/>
    <x v="0"/>
    <x v="7"/>
    <x v="0"/>
    <s v="Yes"/>
    <n v="36"/>
    <n v="47342"/>
    <n v="1"/>
    <n v="3"/>
    <n v="31"/>
    <n v="5"/>
    <n v="1"/>
    <n v="1"/>
    <n v="4"/>
    <n v="11"/>
    <x v="0"/>
    <m/>
  </r>
  <r>
    <x v="0"/>
    <s v="Travel_Rarely"/>
    <x v="4"/>
    <s v="Current Employees"/>
    <x v="5"/>
    <x v="5"/>
    <s v="STAFF-389"/>
    <n v="389"/>
    <x v="0"/>
    <x v="6"/>
    <x v="2"/>
    <s v="Yes"/>
    <n v="34"/>
    <n v="89970"/>
    <n v="4"/>
    <n v="4"/>
    <n v="16"/>
    <n v="37"/>
    <n v="0"/>
    <n v="4"/>
    <n v="4"/>
    <n v="23"/>
    <x v="1"/>
    <m/>
  </r>
  <r>
    <x v="0"/>
    <s v="Travel_Rarely"/>
    <x v="1"/>
    <s v="Current Employees"/>
    <x v="5"/>
    <x v="2"/>
    <s v="STAFF-390"/>
    <n v="390"/>
    <x v="0"/>
    <x v="1"/>
    <x v="1"/>
    <s v="No"/>
    <n v="40"/>
    <n v="23524"/>
    <n v="1"/>
    <n v="1"/>
    <n v="15"/>
    <n v="16"/>
    <n v="4"/>
    <n v="4"/>
    <n v="4"/>
    <n v="21"/>
    <x v="3"/>
    <m/>
  </r>
  <r>
    <x v="1"/>
    <s v="Travel_Rarely"/>
    <x v="2"/>
    <s v="Ex-Employees"/>
    <x v="2"/>
    <x v="5"/>
    <s v="STAFF-391"/>
    <n v="391"/>
    <x v="1"/>
    <x v="5"/>
    <x v="1"/>
    <s v="No"/>
    <n v="40"/>
    <n v="41658"/>
    <n v="2"/>
    <n v="3"/>
    <n v="13"/>
    <n v="10"/>
    <n v="3"/>
    <n v="3"/>
    <n v="4"/>
    <n v="26"/>
    <x v="1"/>
    <m/>
  </r>
  <r>
    <x v="0"/>
    <s v="Travel_Frequently"/>
    <x v="0"/>
    <s v="Current Employees"/>
    <x v="1"/>
    <x v="3"/>
    <s v="STAFF-392"/>
    <n v="392"/>
    <x v="1"/>
    <x v="1"/>
    <x v="0"/>
    <s v="No"/>
    <n v="27"/>
    <n v="60033"/>
    <n v="3"/>
    <n v="1"/>
    <n v="22"/>
    <n v="26"/>
    <n v="4"/>
    <n v="3"/>
    <n v="4"/>
    <n v="23"/>
    <x v="1"/>
    <m/>
  </r>
  <r>
    <x v="0"/>
    <s v="Non-Travel"/>
    <x v="2"/>
    <s v="Current Employees"/>
    <x v="3"/>
    <x v="5"/>
    <s v="STAFF-393"/>
    <n v="393"/>
    <x v="0"/>
    <x v="5"/>
    <x v="1"/>
    <s v="Yes"/>
    <n v="40"/>
    <n v="100240"/>
    <n v="1"/>
    <n v="1"/>
    <n v="10"/>
    <n v="15"/>
    <n v="4"/>
    <n v="2"/>
    <n v="4"/>
    <n v="26"/>
    <x v="3"/>
    <m/>
  </r>
  <r>
    <x v="0"/>
    <s v="Travel_Frequently"/>
    <x v="4"/>
    <s v="Current Employees"/>
    <x v="3"/>
    <x v="0"/>
    <s v="STAFF-394"/>
    <n v="394"/>
    <x v="1"/>
    <x v="8"/>
    <x v="2"/>
    <s v="Yes"/>
    <n v="47"/>
    <n v="114364"/>
    <n v="2"/>
    <n v="4"/>
    <n v="24"/>
    <n v="36"/>
    <n v="1"/>
    <n v="1"/>
    <n v="3"/>
    <n v="30"/>
    <x v="0"/>
    <m/>
  </r>
  <r>
    <x v="0"/>
    <s v="Travel_Frequently"/>
    <x v="2"/>
    <s v="Current Employees"/>
    <x v="4"/>
    <x v="0"/>
    <s v="STAFF-395"/>
    <n v="395"/>
    <x v="1"/>
    <x v="6"/>
    <x v="2"/>
    <s v="No"/>
    <n v="60"/>
    <n v="130434"/>
    <n v="3"/>
    <n v="2"/>
    <n v="5"/>
    <n v="23"/>
    <n v="1"/>
    <n v="1"/>
    <n v="3"/>
    <n v="23"/>
    <x v="0"/>
    <m/>
  </r>
  <r>
    <x v="0"/>
    <s v="Non-Travel"/>
    <x v="4"/>
    <s v="Current Employees"/>
    <x v="1"/>
    <x v="5"/>
    <s v="STAFF-396"/>
    <n v="396"/>
    <x v="0"/>
    <x v="3"/>
    <x v="0"/>
    <s v="Yes"/>
    <n v="33"/>
    <n v="87783"/>
    <n v="3"/>
    <n v="4"/>
    <n v="24"/>
    <n v="8"/>
    <n v="3"/>
    <n v="2"/>
    <n v="3"/>
    <n v="27"/>
    <x v="3"/>
    <m/>
  </r>
  <r>
    <x v="0"/>
    <s v="Travel_Frequently"/>
    <x v="1"/>
    <s v="Current Employees"/>
    <x v="3"/>
    <x v="0"/>
    <s v="STAFF-397"/>
    <n v="397"/>
    <x v="0"/>
    <x v="8"/>
    <x v="1"/>
    <s v="Yes"/>
    <n v="60"/>
    <n v="136220"/>
    <n v="2"/>
    <n v="3"/>
    <n v="37"/>
    <n v="41"/>
    <n v="3"/>
    <n v="1"/>
    <n v="3"/>
    <n v="16"/>
    <x v="4"/>
    <m/>
  </r>
  <r>
    <x v="1"/>
    <s v="Non-Travel"/>
    <x v="3"/>
    <s v="Ex-Employees"/>
    <x v="1"/>
    <x v="0"/>
    <s v="STAFF-398"/>
    <n v="398"/>
    <x v="1"/>
    <x v="7"/>
    <x v="0"/>
    <s v="No"/>
    <n v="25"/>
    <n v="42976"/>
    <n v="1"/>
    <n v="1"/>
    <n v="21"/>
    <n v="15"/>
    <n v="3"/>
    <n v="3"/>
    <n v="3"/>
    <n v="1"/>
    <x v="3"/>
    <m/>
  </r>
  <r>
    <x v="0"/>
    <s v="Non-Travel"/>
    <x v="1"/>
    <s v="Current Employees"/>
    <x v="1"/>
    <x v="2"/>
    <s v="STAFF-399"/>
    <n v="399"/>
    <x v="0"/>
    <x v="4"/>
    <x v="2"/>
    <s v="Yes"/>
    <n v="37"/>
    <n v="62529"/>
    <n v="4"/>
    <n v="3"/>
    <n v="29"/>
    <n v="8"/>
    <n v="0"/>
    <n v="3"/>
    <n v="4"/>
    <n v="5"/>
    <x v="3"/>
    <m/>
  </r>
  <r>
    <x v="0"/>
    <s v="Travel_Frequently"/>
    <x v="0"/>
    <s v="Current Employees"/>
    <x v="3"/>
    <x v="2"/>
    <s v="STAFF-400"/>
    <n v="400"/>
    <x v="1"/>
    <x v="7"/>
    <x v="1"/>
    <s v="No"/>
    <n v="60"/>
    <n v="87142"/>
    <n v="3"/>
    <n v="4"/>
    <n v="10"/>
    <n v="20"/>
    <n v="5"/>
    <n v="4"/>
    <n v="3"/>
    <n v="18"/>
    <x v="2"/>
    <m/>
  </r>
  <r>
    <x v="0"/>
    <s v="Travel_Rarely"/>
    <x v="1"/>
    <s v="Current Employees"/>
    <x v="3"/>
    <x v="4"/>
    <s v="STAFF-401"/>
    <n v="401"/>
    <x v="1"/>
    <x v="8"/>
    <x v="2"/>
    <s v="No"/>
    <n v="48"/>
    <n v="48415"/>
    <n v="4"/>
    <n v="1"/>
    <n v="28"/>
    <n v="22"/>
    <n v="5"/>
    <n v="4"/>
    <n v="4"/>
    <n v="16"/>
    <x v="1"/>
    <m/>
  </r>
  <r>
    <x v="1"/>
    <s v="Travel_Frequently"/>
    <x v="4"/>
    <s v="Ex-Employees"/>
    <x v="4"/>
    <x v="4"/>
    <s v="STAFF-402"/>
    <n v="402"/>
    <x v="0"/>
    <x v="8"/>
    <x v="2"/>
    <s v="Yes"/>
    <n v="53"/>
    <n v="89510"/>
    <n v="2"/>
    <n v="1"/>
    <n v="33"/>
    <n v="36"/>
    <n v="1"/>
    <n v="4"/>
    <n v="3"/>
    <n v="8"/>
    <x v="2"/>
    <m/>
  </r>
  <r>
    <x v="0"/>
    <s v="Travel_Frequently"/>
    <x v="4"/>
    <s v="Current Employees"/>
    <x v="4"/>
    <x v="3"/>
    <s v="STAFF-403"/>
    <n v="403"/>
    <x v="0"/>
    <x v="7"/>
    <x v="1"/>
    <s v="Yes"/>
    <n v="41"/>
    <n v="58311"/>
    <n v="1"/>
    <n v="1"/>
    <n v="29"/>
    <n v="42"/>
    <n v="3"/>
    <n v="4"/>
    <n v="4"/>
    <n v="20"/>
    <x v="1"/>
    <m/>
  </r>
  <r>
    <x v="0"/>
    <s v="Travel_Frequently"/>
    <x v="0"/>
    <s v="Current Employees"/>
    <x v="2"/>
    <x v="2"/>
    <s v="STAFF-404"/>
    <n v="404"/>
    <x v="0"/>
    <x v="3"/>
    <x v="2"/>
    <s v="No"/>
    <n v="41"/>
    <n v="32558"/>
    <n v="1"/>
    <n v="4"/>
    <n v="5"/>
    <n v="25"/>
    <n v="2"/>
    <n v="2"/>
    <n v="3"/>
    <n v="25"/>
    <x v="2"/>
    <m/>
  </r>
  <r>
    <x v="0"/>
    <s v="Travel_Frequently"/>
    <x v="4"/>
    <s v="Current Employees"/>
    <x v="3"/>
    <x v="5"/>
    <s v="STAFF-405"/>
    <n v="405"/>
    <x v="1"/>
    <x v="6"/>
    <x v="2"/>
    <s v="No"/>
    <n v="52"/>
    <n v="131340"/>
    <n v="3"/>
    <n v="2"/>
    <n v="22"/>
    <n v="42"/>
    <n v="0"/>
    <n v="3"/>
    <n v="3"/>
    <n v="16"/>
    <x v="2"/>
    <m/>
  </r>
  <r>
    <x v="1"/>
    <s v="Non-Travel"/>
    <x v="2"/>
    <s v="Ex-Employees"/>
    <x v="2"/>
    <x v="5"/>
    <s v="STAFF-406"/>
    <n v="406"/>
    <x v="0"/>
    <x v="7"/>
    <x v="1"/>
    <s v="Yes"/>
    <n v="48"/>
    <n v="129677"/>
    <n v="1"/>
    <n v="1"/>
    <n v="32"/>
    <n v="21"/>
    <n v="3"/>
    <n v="2"/>
    <n v="3"/>
    <n v="30"/>
    <x v="2"/>
    <m/>
  </r>
  <r>
    <x v="0"/>
    <s v="Travel_Frequently"/>
    <x v="2"/>
    <s v="Current Employees"/>
    <x v="4"/>
    <x v="5"/>
    <s v="STAFF-407"/>
    <n v="407"/>
    <x v="1"/>
    <x v="0"/>
    <x v="1"/>
    <s v="No"/>
    <n v="30"/>
    <n v="51499"/>
    <n v="3"/>
    <n v="2"/>
    <n v="33"/>
    <n v="27"/>
    <n v="2"/>
    <n v="1"/>
    <n v="3"/>
    <n v="30"/>
    <x v="1"/>
    <m/>
  </r>
  <r>
    <x v="0"/>
    <s v="Travel_Rarely"/>
    <x v="2"/>
    <s v="Current Employees"/>
    <x v="1"/>
    <x v="5"/>
    <s v="STAFF-408"/>
    <n v="408"/>
    <x v="1"/>
    <x v="1"/>
    <x v="1"/>
    <s v="Yes"/>
    <n v="53"/>
    <n v="22264"/>
    <n v="1"/>
    <n v="4"/>
    <n v="11"/>
    <n v="11"/>
    <n v="6"/>
    <n v="4"/>
    <n v="3"/>
    <n v="3"/>
    <x v="2"/>
    <m/>
  </r>
  <r>
    <x v="1"/>
    <s v="Non-Travel"/>
    <x v="1"/>
    <s v="Ex-Employees"/>
    <x v="2"/>
    <x v="5"/>
    <s v="STAFF-409"/>
    <n v="409"/>
    <x v="1"/>
    <x v="2"/>
    <x v="1"/>
    <s v="No"/>
    <n v="32"/>
    <n v="73330"/>
    <n v="2"/>
    <n v="1"/>
    <n v="38"/>
    <n v="16"/>
    <n v="6"/>
    <n v="1"/>
    <n v="4"/>
    <n v="18"/>
    <x v="1"/>
    <m/>
  </r>
  <r>
    <x v="0"/>
    <s v="Non-Travel"/>
    <x v="1"/>
    <s v="Current Employees"/>
    <x v="3"/>
    <x v="5"/>
    <s v="STAFF-410"/>
    <n v="410"/>
    <x v="1"/>
    <x v="7"/>
    <x v="0"/>
    <s v="No"/>
    <n v="40"/>
    <n v="179675"/>
    <n v="3"/>
    <n v="4"/>
    <n v="19"/>
    <n v="5"/>
    <n v="1"/>
    <n v="2"/>
    <n v="3"/>
    <n v="7"/>
    <x v="1"/>
    <m/>
  </r>
  <r>
    <x v="0"/>
    <s v="Travel_Rarely"/>
    <x v="2"/>
    <s v="Current Employees"/>
    <x v="3"/>
    <x v="0"/>
    <s v="STAFF-411"/>
    <n v="411"/>
    <x v="1"/>
    <x v="6"/>
    <x v="0"/>
    <s v="Yes"/>
    <n v="48"/>
    <n v="159186"/>
    <n v="2"/>
    <n v="1"/>
    <n v="19"/>
    <n v="29"/>
    <n v="1"/>
    <n v="4"/>
    <n v="4"/>
    <n v="1"/>
    <x v="1"/>
    <m/>
  </r>
  <r>
    <x v="0"/>
    <s v="Travel_Frequently"/>
    <x v="1"/>
    <s v="Current Employees"/>
    <x v="5"/>
    <x v="5"/>
    <s v="STAFF-412"/>
    <n v="412"/>
    <x v="1"/>
    <x v="5"/>
    <x v="1"/>
    <s v="Yes"/>
    <n v="33"/>
    <n v="95288"/>
    <n v="4"/>
    <n v="1"/>
    <n v="21"/>
    <n v="0"/>
    <n v="0"/>
    <n v="4"/>
    <n v="4"/>
    <n v="28"/>
    <x v="2"/>
    <m/>
  </r>
  <r>
    <x v="0"/>
    <s v="Travel_Frequently"/>
    <x v="2"/>
    <s v="Current Employees"/>
    <x v="2"/>
    <x v="4"/>
    <s v="STAFF-413"/>
    <n v="413"/>
    <x v="1"/>
    <x v="7"/>
    <x v="1"/>
    <s v="No"/>
    <n v="35"/>
    <n v="33913"/>
    <n v="1"/>
    <n v="4"/>
    <n v="36"/>
    <n v="20"/>
    <n v="4"/>
    <n v="1"/>
    <n v="4"/>
    <n v="29"/>
    <x v="2"/>
    <m/>
  </r>
  <r>
    <x v="1"/>
    <s v="Non-Travel"/>
    <x v="1"/>
    <s v="Ex-Employees"/>
    <x v="2"/>
    <x v="2"/>
    <s v="STAFF-414"/>
    <n v="414"/>
    <x v="1"/>
    <x v="7"/>
    <x v="2"/>
    <s v="Yes"/>
    <n v="39"/>
    <n v="68384"/>
    <n v="4"/>
    <n v="3"/>
    <n v="28"/>
    <n v="14"/>
    <n v="4"/>
    <n v="2"/>
    <n v="4"/>
    <n v="30"/>
    <x v="0"/>
    <m/>
  </r>
  <r>
    <x v="1"/>
    <s v="Travel_Rarely"/>
    <x v="2"/>
    <s v="Ex-Employees"/>
    <x v="1"/>
    <x v="2"/>
    <s v="STAFF-415"/>
    <n v="415"/>
    <x v="1"/>
    <x v="7"/>
    <x v="0"/>
    <s v="No"/>
    <n v="51"/>
    <n v="60474"/>
    <n v="2"/>
    <n v="3"/>
    <n v="5"/>
    <n v="42"/>
    <n v="3"/>
    <n v="2"/>
    <n v="3"/>
    <n v="7"/>
    <x v="4"/>
    <m/>
  </r>
  <r>
    <x v="0"/>
    <s v="Travel_Frequently"/>
    <x v="1"/>
    <s v="Current Employees"/>
    <x v="1"/>
    <x v="2"/>
    <s v="STAFF-416"/>
    <n v="416"/>
    <x v="0"/>
    <x v="3"/>
    <x v="0"/>
    <s v="Yes"/>
    <n v="22"/>
    <n v="112053"/>
    <n v="3"/>
    <n v="3"/>
    <n v="10"/>
    <n v="11"/>
    <n v="6"/>
    <n v="1"/>
    <n v="3"/>
    <n v="11"/>
    <x v="2"/>
    <m/>
  </r>
  <r>
    <x v="0"/>
    <s v="Travel_Rarely"/>
    <x v="1"/>
    <s v="Current Employees"/>
    <x v="2"/>
    <x v="5"/>
    <s v="STAFF-417"/>
    <n v="417"/>
    <x v="1"/>
    <x v="1"/>
    <x v="1"/>
    <s v="Yes"/>
    <n v="56"/>
    <n v="88121"/>
    <n v="2"/>
    <n v="1"/>
    <n v="3"/>
    <n v="28"/>
    <n v="6"/>
    <n v="4"/>
    <n v="3"/>
    <n v="4"/>
    <x v="0"/>
    <m/>
  </r>
  <r>
    <x v="0"/>
    <s v="Non-Travel"/>
    <x v="4"/>
    <s v="Current Employees"/>
    <x v="4"/>
    <x v="4"/>
    <s v="STAFF-418"/>
    <n v="418"/>
    <x v="0"/>
    <x v="6"/>
    <x v="0"/>
    <s v="Yes"/>
    <n v="34"/>
    <n v="112801"/>
    <n v="2"/>
    <n v="3"/>
    <n v="28"/>
    <n v="32"/>
    <n v="3"/>
    <n v="1"/>
    <n v="3"/>
    <n v="21"/>
    <x v="3"/>
    <m/>
  </r>
  <r>
    <x v="0"/>
    <s v="Travel_Frequently"/>
    <x v="1"/>
    <s v="Current Employees"/>
    <x v="3"/>
    <x v="5"/>
    <s v="STAFF-419"/>
    <n v="419"/>
    <x v="0"/>
    <x v="3"/>
    <x v="1"/>
    <s v="No"/>
    <n v="39"/>
    <n v="150388"/>
    <n v="2"/>
    <n v="1"/>
    <n v="17"/>
    <n v="23"/>
    <n v="5"/>
    <n v="4"/>
    <n v="4"/>
    <n v="21"/>
    <x v="4"/>
    <m/>
  </r>
  <r>
    <x v="0"/>
    <s v="Travel_Rarely"/>
    <x v="4"/>
    <s v="Current Employees"/>
    <x v="1"/>
    <x v="0"/>
    <s v="STAFF-420"/>
    <n v="420"/>
    <x v="1"/>
    <x v="7"/>
    <x v="1"/>
    <s v="No"/>
    <n v="54"/>
    <n v="112836"/>
    <n v="1"/>
    <n v="4"/>
    <n v="9"/>
    <n v="0"/>
    <n v="5"/>
    <n v="1"/>
    <n v="3"/>
    <n v="11"/>
    <x v="3"/>
    <m/>
  </r>
  <r>
    <x v="0"/>
    <s v="Travel_Rarely"/>
    <x v="4"/>
    <s v="Current Employees"/>
    <x v="1"/>
    <x v="5"/>
    <s v="STAFF-421"/>
    <n v="421"/>
    <x v="0"/>
    <x v="6"/>
    <x v="0"/>
    <s v="Yes"/>
    <n v="54"/>
    <n v="95522"/>
    <n v="4"/>
    <n v="4"/>
    <n v="35"/>
    <n v="19"/>
    <n v="5"/>
    <n v="3"/>
    <n v="4"/>
    <n v="1"/>
    <x v="3"/>
    <m/>
  </r>
  <r>
    <x v="1"/>
    <s v="Non-Travel"/>
    <x v="2"/>
    <s v="Ex-Employees"/>
    <x v="3"/>
    <x v="5"/>
    <s v="STAFF-422"/>
    <n v="422"/>
    <x v="1"/>
    <x v="3"/>
    <x v="0"/>
    <s v="No"/>
    <n v="43"/>
    <n v="124038"/>
    <n v="2"/>
    <n v="3"/>
    <n v="5"/>
    <n v="2"/>
    <n v="4"/>
    <n v="3"/>
    <n v="4"/>
    <n v="24"/>
    <x v="4"/>
    <m/>
  </r>
  <r>
    <x v="0"/>
    <s v="Travel_Rarely"/>
    <x v="2"/>
    <s v="Current Employees"/>
    <x v="3"/>
    <x v="1"/>
    <s v="STAFF-423"/>
    <n v="423"/>
    <x v="1"/>
    <x v="4"/>
    <x v="1"/>
    <s v="Yes"/>
    <n v="22"/>
    <n v="25311"/>
    <n v="3"/>
    <n v="2"/>
    <n v="19"/>
    <n v="27"/>
    <n v="4"/>
    <n v="1"/>
    <n v="3"/>
    <n v="27"/>
    <x v="3"/>
    <m/>
  </r>
  <r>
    <x v="0"/>
    <s v="Travel_Rarely"/>
    <x v="2"/>
    <s v="Current Employees"/>
    <x v="4"/>
    <x v="3"/>
    <s v="STAFF-424"/>
    <n v="424"/>
    <x v="0"/>
    <x v="9"/>
    <x v="1"/>
    <s v="Yes"/>
    <n v="50"/>
    <n v="106861"/>
    <n v="2"/>
    <n v="2"/>
    <n v="22"/>
    <n v="19"/>
    <n v="2"/>
    <n v="2"/>
    <n v="4"/>
    <n v="17"/>
    <x v="4"/>
    <m/>
  </r>
  <r>
    <x v="0"/>
    <s v="Travel_Frequently"/>
    <x v="2"/>
    <s v="Current Employees"/>
    <x v="3"/>
    <x v="5"/>
    <s v="STAFF-425"/>
    <n v="425"/>
    <x v="0"/>
    <x v="6"/>
    <x v="0"/>
    <s v="No"/>
    <n v="47"/>
    <n v="39481"/>
    <n v="1"/>
    <n v="1"/>
    <n v="27"/>
    <n v="8"/>
    <n v="3"/>
    <n v="2"/>
    <n v="4"/>
    <n v="3"/>
    <x v="3"/>
    <m/>
  </r>
  <r>
    <x v="0"/>
    <s v="Non-Travel"/>
    <x v="1"/>
    <s v="Current Employees"/>
    <x v="2"/>
    <x v="5"/>
    <s v="STAFF-426"/>
    <n v="426"/>
    <x v="1"/>
    <x v="2"/>
    <x v="1"/>
    <s v="No"/>
    <n v="49"/>
    <n v="146330"/>
    <n v="4"/>
    <n v="2"/>
    <n v="9"/>
    <n v="32"/>
    <n v="1"/>
    <n v="4"/>
    <n v="4"/>
    <n v="5"/>
    <x v="0"/>
    <m/>
  </r>
  <r>
    <x v="1"/>
    <s v="Travel_Frequently"/>
    <x v="1"/>
    <s v="Ex-Employees"/>
    <x v="3"/>
    <x v="5"/>
    <s v="STAFF-427"/>
    <n v="427"/>
    <x v="0"/>
    <x v="6"/>
    <x v="0"/>
    <s v="No"/>
    <n v="28"/>
    <n v="175705"/>
    <n v="4"/>
    <n v="1"/>
    <n v="7"/>
    <n v="23"/>
    <n v="4"/>
    <n v="3"/>
    <n v="3"/>
    <n v="17"/>
    <x v="4"/>
    <m/>
  </r>
  <r>
    <x v="0"/>
    <s v="Travel_Frequently"/>
    <x v="1"/>
    <s v="Current Employees"/>
    <x v="0"/>
    <x v="2"/>
    <s v="STAFF-428"/>
    <n v="428"/>
    <x v="1"/>
    <x v="5"/>
    <x v="2"/>
    <s v="Yes"/>
    <n v="58"/>
    <n v="128561"/>
    <n v="1"/>
    <n v="3"/>
    <n v="18"/>
    <n v="13"/>
    <n v="1"/>
    <n v="4"/>
    <n v="3"/>
    <n v="4"/>
    <x v="0"/>
    <m/>
  </r>
  <r>
    <x v="0"/>
    <s v="Travel_Frequently"/>
    <x v="4"/>
    <s v="Current Employees"/>
    <x v="1"/>
    <x v="1"/>
    <s v="STAFF-429"/>
    <n v="429"/>
    <x v="1"/>
    <x v="2"/>
    <x v="1"/>
    <s v="No"/>
    <n v="45"/>
    <n v="142578"/>
    <n v="2"/>
    <n v="2"/>
    <n v="32"/>
    <n v="40"/>
    <n v="3"/>
    <n v="4"/>
    <n v="4"/>
    <n v="5"/>
    <x v="3"/>
    <m/>
  </r>
  <r>
    <x v="0"/>
    <s v="Travel_Frequently"/>
    <x v="2"/>
    <s v="Current Employees"/>
    <x v="2"/>
    <x v="5"/>
    <s v="STAFF-430"/>
    <n v="430"/>
    <x v="0"/>
    <x v="7"/>
    <x v="1"/>
    <s v="Yes"/>
    <n v="49"/>
    <n v="90712"/>
    <n v="1"/>
    <n v="2"/>
    <n v="1"/>
    <n v="36"/>
    <n v="5"/>
    <n v="3"/>
    <n v="3"/>
    <n v="21"/>
    <x v="0"/>
    <m/>
  </r>
  <r>
    <x v="0"/>
    <s v="Non-Travel"/>
    <x v="3"/>
    <s v="Current Employees"/>
    <x v="2"/>
    <x v="4"/>
    <s v="STAFF-431"/>
    <n v="431"/>
    <x v="0"/>
    <x v="9"/>
    <x v="0"/>
    <s v="Yes"/>
    <n v="28"/>
    <n v="157423"/>
    <n v="2"/>
    <n v="1"/>
    <n v="17"/>
    <n v="13"/>
    <n v="1"/>
    <n v="4"/>
    <n v="3"/>
    <n v="26"/>
    <x v="0"/>
    <m/>
  </r>
  <r>
    <x v="0"/>
    <s v="Travel_Frequently"/>
    <x v="1"/>
    <s v="Current Employees"/>
    <x v="4"/>
    <x v="4"/>
    <s v="STAFF-432"/>
    <n v="432"/>
    <x v="1"/>
    <x v="7"/>
    <x v="2"/>
    <s v="No"/>
    <n v="22"/>
    <n v="156386"/>
    <n v="3"/>
    <n v="4"/>
    <n v="16"/>
    <n v="5"/>
    <n v="0"/>
    <n v="1"/>
    <n v="3"/>
    <n v="10"/>
    <x v="4"/>
    <m/>
  </r>
  <r>
    <x v="0"/>
    <s v="Travel_Frequently"/>
    <x v="4"/>
    <s v="Current Employees"/>
    <x v="3"/>
    <x v="5"/>
    <s v="STAFF-433"/>
    <n v="433"/>
    <x v="0"/>
    <x v="5"/>
    <x v="0"/>
    <s v="No"/>
    <n v="32"/>
    <n v="25122"/>
    <n v="1"/>
    <n v="3"/>
    <n v="24"/>
    <n v="6"/>
    <n v="2"/>
    <n v="2"/>
    <n v="4"/>
    <n v="29"/>
    <x v="3"/>
    <m/>
  </r>
  <r>
    <x v="0"/>
    <s v="Travel_Rarely"/>
    <x v="4"/>
    <s v="Current Employees"/>
    <x v="4"/>
    <x v="0"/>
    <s v="STAFF-434"/>
    <n v="434"/>
    <x v="0"/>
    <x v="2"/>
    <x v="0"/>
    <s v="Yes"/>
    <n v="52"/>
    <n v="151332"/>
    <n v="4"/>
    <n v="1"/>
    <n v="17"/>
    <n v="3"/>
    <n v="2"/>
    <n v="4"/>
    <n v="4"/>
    <n v="3"/>
    <x v="2"/>
    <m/>
  </r>
  <r>
    <x v="0"/>
    <s v="Travel_Frequently"/>
    <x v="2"/>
    <s v="Current Employees"/>
    <x v="4"/>
    <x v="1"/>
    <s v="STAFF-435"/>
    <n v="435"/>
    <x v="0"/>
    <x v="3"/>
    <x v="0"/>
    <s v="Yes"/>
    <n v="40"/>
    <n v="166962"/>
    <n v="4"/>
    <n v="4"/>
    <n v="5"/>
    <n v="40"/>
    <n v="4"/>
    <n v="2"/>
    <n v="3"/>
    <n v="12"/>
    <x v="0"/>
    <m/>
  </r>
  <r>
    <x v="1"/>
    <s v="Travel_Frequently"/>
    <x v="4"/>
    <s v="Ex-Employees"/>
    <x v="2"/>
    <x v="1"/>
    <s v="STAFF-436"/>
    <n v="436"/>
    <x v="1"/>
    <x v="5"/>
    <x v="2"/>
    <s v="No"/>
    <n v="60"/>
    <n v="93825"/>
    <n v="2"/>
    <n v="1"/>
    <n v="3"/>
    <n v="30"/>
    <n v="2"/>
    <n v="3"/>
    <n v="4"/>
    <n v="12"/>
    <x v="4"/>
    <m/>
  </r>
  <r>
    <x v="0"/>
    <s v="Travel_Rarely"/>
    <x v="2"/>
    <s v="Current Employees"/>
    <x v="4"/>
    <x v="3"/>
    <s v="STAFF-437"/>
    <n v="437"/>
    <x v="0"/>
    <x v="8"/>
    <x v="2"/>
    <s v="No"/>
    <n v="28"/>
    <n v="54608"/>
    <n v="3"/>
    <n v="4"/>
    <n v="13"/>
    <n v="39"/>
    <n v="4"/>
    <n v="3"/>
    <n v="4"/>
    <n v="21"/>
    <x v="3"/>
    <m/>
  </r>
  <r>
    <x v="1"/>
    <s v="Travel_Rarely"/>
    <x v="2"/>
    <s v="Ex-Employees"/>
    <x v="0"/>
    <x v="3"/>
    <s v="STAFF-438"/>
    <n v="438"/>
    <x v="1"/>
    <x v="1"/>
    <x v="2"/>
    <s v="No"/>
    <n v="59"/>
    <n v="104103"/>
    <n v="1"/>
    <n v="2"/>
    <n v="0"/>
    <n v="38"/>
    <n v="3"/>
    <n v="1"/>
    <n v="3"/>
    <n v="22"/>
    <x v="4"/>
    <m/>
  </r>
  <r>
    <x v="0"/>
    <s v="Travel_Frequently"/>
    <x v="4"/>
    <s v="Current Employees"/>
    <x v="5"/>
    <x v="5"/>
    <s v="STAFF-439"/>
    <n v="439"/>
    <x v="0"/>
    <x v="0"/>
    <x v="0"/>
    <s v="Yes"/>
    <n v="49"/>
    <n v="50352"/>
    <n v="3"/>
    <n v="4"/>
    <n v="38"/>
    <n v="22"/>
    <n v="3"/>
    <n v="2"/>
    <n v="3"/>
    <n v="4"/>
    <x v="2"/>
    <m/>
  </r>
  <r>
    <x v="0"/>
    <s v="Travel_Rarely"/>
    <x v="1"/>
    <s v="Current Employees"/>
    <x v="4"/>
    <x v="3"/>
    <s v="STAFF-440"/>
    <n v="440"/>
    <x v="0"/>
    <x v="8"/>
    <x v="0"/>
    <s v="No"/>
    <n v="33"/>
    <n v="41584"/>
    <n v="3"/>
    <n v="2"/>
    <n v="14"/>
    <n v="31"/>
    <n v="2"/>
    <n v="1"/>
    <n v="4"/>
    <n v="16"/>
    <x v="0"/>
    <m/>
  </r>
  <r>
    <x v="0"/>
    <s v="Travel_Frequently"/>
    <x v="1"/>
    <s v="Current Employees"/>
    <x v="5"/>
    <x v="4"/>
    <s v="STAFF-441"/>
    <n v="441"/>
    <x v="1"/>
    <x v="2"/>
    <x v="0"/>
    <s v="No"/>
    <n v="31"/>
    <n v="162647"/>
    <n v="2"/>
    <n v="2"/>
    <n v="4"/>
    <n v="37"/>
    <n v="1"/>
    <n v="1"/>
    <n v="3"/>
    <n v="9"/>
    <x v="0"/>
    <m/>
  </r>
  <r>
    <x v="1"/>
    <s v="Travel_Frequently"/>
    <x v="4"/>
    <s v="Ex-Employees"/>
    <x v="5"/>
    <x v="0"/>
    <s v="STAFF-442"/>
    <n v="442"/>
    <x v="0"/>
    <x v="4"/>
    <x v="0"/>
    <s v="No"/>
    <n v="56"/>
    <n v="136994"/>
    <n v="1"/>
    <n v="4"/>
    <n v="3"/>
    <n v="20"/>
    <n v="3"/>
    <n v="4"/>
    <n v="4"/>
    <n v="4"/>
    <x v="0"/>
    <m/>
  </r>
  <r>
    <x v="0"/>
    <s v="Non-Travel"/>
    <x v="1"/>
    <s v="Current Employees"/>
    <x v="4"/>
    <x v="0"/>
    <s v="STAFF-443"/>
    <n v="443"/>
    <x v="0"/>
    <x v="8"/>
    <x v="1"/>
    <s v="No"/>
    <n v="41"/>
    <n v="19352"/>
    <n v="4"/>
    <n v="2"/>
    <n v="21"/>
    <n v="5"/>
    <n v="4"/>
    <n v="1"/>
    <n v="3"/>
    <n v="23"/>
    <x v="2"/>
    <m/>
  </r>
  <r>
    <x v="1"/>
    <s v="Travel_Rarely"/>
    <x v="4"/>
    <s v="Ex-Employees"/>
    <x v="3"/>
    <x v="2"/>
    <s v="STAFF-444"/>
    <n v="444"/>
    <x v="1"/>
    <x v="0"/>
    <x v="0"/>
    <s v="Yes"/>
    <n v="22"/>
    <n v="143820"/>
    <n v="4"/>
    <n v="1"/>
    <n v="37"/>
    <n v="40"/>
    <n v="2"/>
    <n v="3"/>
    <n v="3"/>
    <n v="4"/>
    <x v="2"/>
    <m/>
  </r>
  <r>
    <x v="0"/>
    <s v="Travel_Frequently"/>
    <x v="1"/>
    <s v="Current Employees"/>
    <x v="4"/>
    <x v="1"/>
    <s v="STAFF-445"/>
    <n v="445"/>
    <x v="0"/>
    <x v="0"/>
    <x v="0"/>
    <s v="No"/>
    <n v="27"/>
    <n v="135035"/>
    <n v="1"/>
    <n v="1"/>
    <n v="3"/>
    <n v="2"/>
    <n v="3"/>
    <n v="3"/>
    <n v="3"/>
    <n v="26"/>
    <x v="4"/>
    <m/>
  </r>
  <r>
    <x v="0"/>
    <s v="Travel_Frequently"/>
    <x v="4"/>
    <s v="Current Employees"/>
    <x v="4"/>
    <x v="1"/>
    <s v="STAFF-446"/>
    <n v="446"/>
    <x v="1"/>
    <x v="0"/>
    <x v="2"/>
    <s v="Yes"/>
    <n v="56"/>
    <n v="31684"/>
    <n v="3"/>
    <n v="4"/>
    <n v="25"/>
    <n v="6"/>
    <n v="4"/>
    <n v="4"/>
    <n v="3"/>
    <n v="28"/>
    <x v="0"/>
    <m/>
  </r>
  <r>
    <x v="0"/>
    <s v="Travel_Frequently"/>
    <x v="2"/>
    <s v="Current Employees"/>
    <x v="1"/>
    <x v="5"/>
    <s v="STAFF-447"/>
    <n v="447"/>
    <x v="1"/>
    <x v="2"/>
    <x v="0"/>
    <s v="Yes"/>
    <n v="42"/>
    <n v="24808"/>
    <n v="4"/>
    <n v="3"/>
    <n v="37"/>
    <n v="12"/>
    <n v="0"/>
    <n v="1"/>
    <n v="3"/>
    <n v="20"/>
    <x v="1"/>
    <m/>
  </r>
  <r>
    <x v="0"/>
    <s v="Travel_Rarely"/>
    <x v="4"/>
    <s v="Current Employees"/>
    <x v="2"/>
    <x v="3"/>
    <s v="STAFF-448"/>
    <n v="448"/>
    <x v="1"/>
    <x v="1"/>
    <x v="1"/>
    <s v="No"/>
    <n v="60"/>
    <n v="134555"/>
    <n v="2"/>
    <n v="2"/>
    <n v="8"/>
    <n v="2"/>
    <n v="0"/>
    <n v="2"/>
    <n v="4"/>
    <n v="19"/>
    <x v="2"/>
    <m/>
  </r>
  <r>
    <x v="0"/>
    <s v="Travel_Frequently"/>
    <x v="2"/>
    <s v="Current Employees"/>
    <x v="0"/>
    <x v="1"/>
    <s v="STAFF-449"/>
    <n v="449"/>
    <x v="0"/>
    <x v="6"/>
    <x v="1"/>
    <s v="No"/>
    <n v="59"/>
    <n v="107889"/>
    <n v="3"/>
    <n v="3"/>
    <n v="0"/>
    <n v="33"/>
    <n v="4"/>
    <n v="2"/>
    <n v="3"/>
    <n v="8"/>
    <x v="0"/>
    <m/>
  </r>
  <r>
    <x v="0"/>
    <s v="Travel_Frequently"/>
    <x v="2"/>
    <s v="Current Employees"/>
    <x v="4"/>
    <x v="2"/>
    <s v="STAFF-450"/>
    <n v="450"/>
    <x v="0"/>
    <x v="3"/>
    <x v="0"/>
    <s v="Yes"/>
    <n v="25"/>
    <n v="107535"/>
    <n v="2"/>
    <n v="4"/>
    <n v="29"/>
    <n v="38"/>
    <n v="5"/>
    <n v="3"/>
    <n v="4"/>
    <n v="20"/>
    <x v="3"/>
    <m/>
  </r>
  <r>
    <x v="0"/>
    <s v="Travel_Rarely"/>
    <x v="1"/>
    <s v="Current Employees"/>
    <x v="1"/>
    <x v="5"/>
    <s v="STAFF-451"/>
    <n v="451"/>
    <x v="0"/>
    <x v="5"/>
    <x v="0"/>
    <s v="Yes"/>
    <n v="35"/>
    <n v="140299"/>
    <n v="2"/>
    <n v="2"/>
    <n v="30"/>
    <n v="21"/>
    <n v="6"/>
    <n v="4"/>
    <n v="3"/>
    <n v="13"/>
    <x v="4"/>
    <m/>
  </r>
  <r>
    <x v="0"/>
    <s v="Travel_Rarely"/>
    <x v="0"/>
    <s v="Current Employees"/>
    <x v="4"/>
    <x v="2"/>
    <s v="STAFF-452"/>
    <n v="452"/>
    <x v="0"/>
    <x v="4"/>
    <x v="2"/>
    <s v="Yes"/>
    <n v="39"/>
    <n v="133450"/>
    <n v="2"/>
    <n v="3"/>
    <n v="2"/>
    <n v="1"/>
    <n v="1"/>
    <n v="2"/>
    <n v="4"/>
    <n v="6"/>
    <x v="4"/>
    <m/>
  </r>
  <r>
    <x v="1"/>
    <s v="Non-Travel"/>
    <x v="2"/>
    <s v="Ex-Employees"/>
    <x v="0"/>
    <x v="0"/>
    <s v="STAFF-453"/>
    <n v="453"/>
    <x v="0"/>
    <x v="3"/>
    <x v="2"/>
    <s v="Yes"/>
    <n v="37"/>
    <n v="44526"/>
    <n v="1"/>
    <n v="2"/>
    <n v="24"/>
    <n v="41"/>
    <n v="6"/>
    <n v="1"/>
    <n v="4"/>
    <n v="30"/>
    <x v="4"/>
    <m/>
  </r>
  <r>
    <x v="0"/>
    <s v="Non-Travel"/>
    <x v="1"/>
    <s v="Current Employees"/>
    <x v="0"/>
    <x v="0"/>
    <s v="STAFF-454"/>
    <n v="454"/>
    <x v="1"/>
    <x v="0"/>
    <x v="2"/>
    <s v="Yes"/>
    <n v="29"/>
    <n v="67713"/>
    <n v="2"/>
    <n v="4"/>
    <n v="23"/>
    <n v="20"/>
    <n v="4"/>
    <n v="4"/>
    <n v="3"/>
    <n v="30"/>
    <x v="1"/>
    <m/>
  </r>
  <r>
    <x v="0"/>
    <s v="Travel_Frequently"/>
    <x v="2"/>
    <s v="Current Employees"/>
    <x v="2"/>
    <x v="0"/>
    <s v="STAFF-455"/>
    <n v="455"/>
    <x v="1"/>
    <x v="3"/>
    <x v="2"/>
    <s v="No"/>
    <n v="29"/>
    <n v="151239"/>
    <n v="4"/>
    <n v="2"/>
    <n v="5"/>
    <n v="30"/>
    <n v="6"/>
    <n v="1"/>
    <n v="3"/>
    <n v="17"/>
    <x v="2"/>
    <m/>
  </r>
  <r>
    <x v="0"/>
    <s v="Travel_Frequently"/>
    <x v="2"/>
    <s v="Current Employees"/>
    <x v="2"/>
    <x v="5"/>
    <s v="STAFF-456"/>
    <n v="456"/>
    <x v="1"/>
    <x v="6"/>
    <x v="1"/>
    <s v="No"/>
    <n v="54"/>
    <n v="144693"/>
    <n v="4"/>
    <n v="4"/>
    <n v="17"/>
    <n v="37"/>
    <n v="3"/>
    <n v="1"/>
    <n v="3"/>
    <n v="8"/>
    <x v="4"/>
    <m/>
  </r>
  <r>
    <x v="0"/>
    <s v="Travel_Frequently"/>
    <x v="1"/>
    <s v="Current Employees"/>
    <x v="3"/>
    <x v="5"/>
    <s v="STAFF-457"/>
    <n v="457"/>
    <x v="1"/>
    <x v="2"/>
    <x v="2"/>
    <s v="No"/>
    <n v="37"/>
    <n v="162323"/>
    <n v="1"/>
    <n v="2"/>
    <n v="5"/>
    <n v="18"/>
    <n v="3"/>
    <n v="3"/>
    <n v="3"/>
    <n v="19"/>
    <x v="1"/>
    <m/>
  </r>
  <r>
    <x v="0"/>
    <s v="Travel_Frequently"/>
    <x v="2"/>
    <s v="Current Employees"/>
    <x v="1"/>
    <x v="5"/>
    <s v="STAFF-458"/>
    <n v="458"/>
    <x v="1"/>
    <x v="7"/>
    <x v="1"/>
    <s v="No"/>
    <n v="41"/>
    <n v="89570"/>
    <n v="4"/>
    <n v="1"/>
    <n v="11"/>
    <n v="28"/>
    <n v="1"/>
    <n v="3"/>
    <n v="3"/>
    <n v="12"/>
    <x v="1"/>
    <m/>
  </r>
  <r>
    <x v="0"/>
    <s v="Non-Travel"/>
    <x v="2"/>
    <s v="Current Employees"/>
    <x v="2"/>
    <x v="4"/>
    <s v="STAFF-459"/>
    <n v="459"/>
    <x v="1"/>
    <x v="3"/>
    <x v="2"/>
    <s v="Yes"/>
    <n v="25"/>
    <n v="112433"/>
    <n v="1"/>
    <n v="2"/>
    <n v="21"/>
    <n v="12"/>
    <n v="5"/>
    <n v="3"/>
    <n v="4"/>
    <n v="10"/>
    <x v="3"/>
    <m/>
  </r>
  <r>
    <x v="0"/>
    <s v="Non-Travel"/>
    <x v="2"/>
    <s v="Current Employees"/>
    <x v="3"/>
    <x v="3"/>
    <s v="STAFF-460"/>
    <n v="460"/>
    <x v="1"/>
    <x v="5"/>
    <x v="1"/>
    <s v="No"/>
    <n v="43"/>
    <n v="123856"/>
    <n v="4"/>
    <n v="1"/>
    <n v="30"/>
    <n v="41"/>
    <n v="4"/>
    <n v="2"/>
    <n v="4"/>
    <n v="8"/>
    <x v="4"/>
    <m/>
  </r>
  <r>
    <x v="0"/>
    <s v="Non-Travel"/>
    <x v="1"/>
    <s v="Current Employees"/>
    <x v="3"/>
    <x v="1"/>
    <s v="STAFF-461"/>
    <n v="461"/>
    <x v="1"/>
    <x v="9"/>
    <x v="1"/>
    <s v="Yes"/>
    <n v="41"/>
    <n v="67242"/>
    <n v="4"/>
    <n v="4"/>
    <n v="13"/>
    <n v="28"/>
    <n v="3"/>
    <n v="1"/>
    <n v="4"/>
    <n v="5"/>
    <x v="0"/>
    <m/>
  </r>
  <r>
    <x v="1"/>
    <s v="Travel_Rarely"/>
    <x v="1"/>
    <s v="Ex-Employees"/>
    <x v="5"/>
    <x v="5"/>
    <s v="STAFF-462"/>
    <n v="462"/>
    <x v="1"/>
    <x v="1"/>
    <x v="2"/>
    <s v="No"/>
    <n v="48"/>
    <n v="123740"/>
    <n v="3"/>
    <n v="3"/>
    <n v="37"/>
    <n v="1"/>
    <n v="4"/>
    <n v="1"/>
    <n v="3"/>
    <n v="5"/>
    <x v="3"/>
    <m/>
  </r>
  <r>
    <x v="0"/>
    <s v="Non-Travel"/>
    <x v="4"/>
    <s v="Current Employees"/>
    <x v="2"/>
    <x v="5"/>
    <s v="STAFF-463"/>
    <n v="463"/>
    <x v="1"/>
    <x v="3"/>
    <x v="1"/>
    <s v="Yes"/>
    <n v="55"/>
    <n v="119301"/>
    <n v="2"/>
    <n v="4"/>
    <n v="6"/>
    <n v="21"/>
    <n v="4"/>
    <n v="4"/>
    <n v="4"/>
    <n v="3"/>
    <x v="4"/>
    <m/>
  </r>
  <r>
    <x v="0"/>
    <s v="Non-Travel"/>
    <x v="2"/>
    <s v="Current Employees"/>
    <x v="4"/>
    <x v="1"/>
    <s v="STAFF-464"/>
    <n v="464"/>
    <x v="1"/>
    <x v="5"/>
    <x v="2"/>
    <s v="Yes"/>
    <n v="25"/>
    <n v="119159"/>
    <n v="3"/>
    <n v="2"/>
    <n v="14"/>
    <n v="18"/>
    <n v="5"/>
    <n v="1"/>
    <n v="4"/>
    <n v="2"/>
    <x v="3"/>
    <m/>
  </r>
  <r>
    <x v="0"/>
    <s v="Travel_Frequently"/>
    <x v="1"/>
    <s v="Current Employees"/>
    <x v="1"/>
    <x v="0"/>
    <s v="STAFF-465"/>
    <n v="465"/>
    <x v="0"/>
    <x v="6"/>
    <x v="0"/>
    <s v="No"/>
    <n v="51"/>
    <n v="36025"/>
    <n v="4"/>
    <n v="2"/>
    <n v="8"/>
    <n v="13"/>
    <n v="2"/>
    <n v="4"/>
    <n v="4"/>
    <n v="6"/>
    <x v="0"/>
    <m/>
  </r>
  <r>
    <x v="0"/>
    <s v="Non-Travel"/>
    <x v="1"/>
    <s v="Current Employees"/>
    <x v="3"/>
    <x v="3"/>
    <s v="STAFF-466"/>
    <n v="466"/>
    <x v="1"/>
    <x v="8"/>
    <x v="2"/>
    <s v="Yes"/>
    <n v="30"/>
    <n v="134845"/>
    <n v="1"/>
    <n v="4"/>
    <n v="38"/>
    <n v="15"/>
    <n v="4"/>
    <n v="3"/>
    <n v="4"/>
    <n v="15"/>
    <x v="2"/>
    <m/>
  </r>
  <r>
    <x v="0"/>
    <s v="Non-Travel"/>
    <x v="2"/>
    <s v="Current Employees"/>
    <x v="0"/>
    <x v="5"/>
    <s v="STAFF-467"/>
    <n v="467"/>
    <x v="1"/>
    <x v="8"/>
    <x v="1"/>
    <s v="Yes"/>
    <n v="47"/>
    <n v="83309"/>
    <n v="2"/>
    <n v="4"/>
    <n v="29"/>
    <n v="24"/>
    <n v="5"/>
    <n v="2"/>
    <n v="3"/>
    <n v="13"/>
    <x v="1"/>
    <m/>
  </r>
  <r>
    <x v="0"/>
    <s v="Non-Travel"/>
    <x v="4"/>
    <s v="Current Employees"/>
    <x v="0"/>
    <x v="1"/>
    <s v="STAFF-468"/>
    <n v="468"/>
    <x v="1"/>
    <x v="0"/>
    <x v="0"/>
    <s v="Yes"/>
    <n v="52"/>
    <n v="125814"/>
    <n v="1"/>
    <n v="3"/>
    <n v="4"/>
    <n v="6"/>
    <n v="4"/>
    <n v="3"/>
    <n v="4"/>
    <n v="15"/>
    <x v="4"/>
    <m/>
  </r>
  <r>
    <x v="0"/>
    <s v="Travel_Rarely"/>
    <x v="2"/>
    <s v="Current Employees"/>
    <x v="1"/>
    <x v="4"/>
    <s v="STAFF-469"/>
    <n v="469"/>
    <x v="1"/>
    <x v="7"/>
    <x v="1"/>
    <s v="No"/>
    <n v="33"/>
    <n v="121985"/>
    <n v="1"/>
    <n v="1"/>
    <n v="16"/>
    <n v="7"/>
    <n v="5"/>
    <n v="2"/>
    <n v="4"/>
    <n v="22"/>
    <x v="2"/>
    <m/>
  </r>
  <r>
    <x v="0"/>
    <s v="Non-Travel"/>
    <x v="0"/>
    <s v="Current Employees"/>
    <x v="2"/>
    <x v="0"/>
    <s v="STAFF-470"/>
    <n v="470"/>
    <x v="1"/>
    <x v="6"/>
    <x v="1"/>
    <s v="No"/>
    <n v="31"/>
    <n v="62718"/>
    <n v="1"/>
    <n v="1"/>
    <n v="11"/>
    <n v="18"/>
    <n v="0"/>
    <n v="4"/>
    <n v="3"/>
    <n v="3"/>
    <x v="1"/>
    <m/>
  </r>
  <r>
    <x v="0"/>
    <s v="Travel_Rarely"/>
    <x v="1"/>
    <s v="Current Employees"/>
    <x v="0"/>
    <x v="0"/>
    <s v="STAFF-471"/>
    <n v="471"/>
    <x v="0"/>
    <x v="4"/>
    <x v="2"/>
    <s v="No"/>
    <n v="24"/>
    <n v="155068"/>
    <n v="1"/>
    <n v="4"/>
    <n v="19"/>
    <n v="28"/>
    <n v="0"/>
    <n v="1"/>
    <n v="3"/>
    <n v="25"/>
    <x v="2"/>
    <m/>
  </r>
  <r>
    <x v="0"/>
    <s v="Travel_Rarely"/>
    <x v="4"/>
    <s v="Current Employees"/>
    <x v="0"/>
    <x v="0"/>
    <s v="STAFF-472"/>
    <n v="472"/>
    <x v="0"/>
    <x v="5"/>
    <x v="1"/>
    <s v="Yes"/>
    <n v="21"/>
    <n v="106373"/>
    <n v="2"/>
    <n v="1"/>
    <n v="14"/>
    <n v="6"/>
    <n v="6"/>
    <n v="2"/>
    <n v="3"/>
    <n v="2"/>
    <x v="2"/>
    <m/>
  </r>
  <r>
    <x v="0"/>
    <s v="Non-Travel"/>
    <x v="4"/>
    <s v="Current Employees"/>
    <x v="0"/>
    <x v="3"/>
    <s v="STAFF-473"/>
    <n v="473"/>
    <x v="0"/>
    <x v="2"/>
    <x v="2"/>
    <s v="No"/>
    <n v="48"/>
    <n v="49668"/>
    <n v="2"/>
    <n v="2"/>
    <n v="6"/>
    <n v="22"/>
    <n v="2"/>
    <n v="2"/>
    <n v="3"/>
    <n v="13"/>
    <x v="3"/>
    <m/>
  </r>
  <r>
    <x v="0"/>
    <s v="Travel_Rarely"/>
    <x v="1"/>
    <s v="Current Employees"/>
    <x v="3"/>
    <x v="3"/>
    <s v="STAFF-474"/>
    <n v="474"/>
    <x v="1"/>
    <x v="2"/>
    <x v="1"/>
    <s v="Yes"/>
    <n v="25"/>
    <n v="75294"/>
    <n v="4"/>
    <n v="3"/>
    <n v="38"/>
    <n v="31"/>
    <n v="0"/>
    <n v="2"/>
    <n v="4"/>
    <n v="4"/>
    <x v="0"/>
    <m/>
  </r>
  <r>
    <x v="0"/>
    <s v="Non-Travel"/>
    <x v="2"/>
    <s v="Current Employees"/>
    <x v="1"/>
    <x v="3"/>
    <s v="STAFF-475"/>
    <n v="475"/>
    <x v="0"/>
    <x v="1"/>
    <x v="2"/>
    <s v="No"/>
    <n v="51"/>
    <n v="35698"/>
    <n v="3"/>
    <n v="1"/>
    <n v="38"/>
    <n v="37"/>
    <n v="3"/>
    <n v="4"/>
    <n v="3"/>
    <n v="17"/>
    <x v="0"/>
    <m/>
  </r>
  <r>
    <x v="0"/>
    <s v="Non-Travel"/>
    <x v="0"/>
    <s v="Current Employees"/>
    <x v="4"/>
    <x v="4"/>
    <s v="STAFF-476"/>
    <n v="476"/>
    <x v="1"/>
    <x v="3"/>
    <x v="0"/>
    <s v="No"/>
    <n v="36"/>
    <n v="38811"/>
    <n v="1"/>
    <n v="2"/>
    <n v="23"/>
    <n v="31"/>
    <n v="2"/>
    <n v="2"/>
    <n v="3"/>
    <n v="13"/>
    <x v="4"/>
    <m/>
  </r>
  <r>
    <x v="0"/>
    <s v="Non-Travel"/>
    <x v="1"/>
    <s v="Current Employees"/>
    <x v="5"/>
    <x v="5"/>
    <s v="STAFF-477"/>
    <n v="477"/>
    <x v="1"/>
    <x v="6"/>
    <x v="1"/>
    <s v="No"/>
    <n v="23"/>
    <n v="154543"/>
    <n v="4"/>
    <n v="3"/>
    <n v="1"/>
    <n v="14"/>
    <n v="6"/>
    <n v="3"/>
    <n v="4"/>
    <n v="8"/>
    <x v="4"/>
    <m/>
  </r>
  <r>
    <x v="0"/>
    <s v="Travel_Rarely"/>
    <x v="4"/>
    <s v="Current Employees"/>
    <x v="5"/>
    <x v="3"/>
    <s v="STAFF-478"/>
    <n v="478"/>
    <x v="0"/>
    <x v="2"/>
    <x v="1"/>
    <s v="No"/>
    <n v="32"/>
    <n v="133962"/>
    <n v="1"/>
    <n v="1"/>
    <n v="31"/>
    <n v="4"/>
    <n v="1"/>
    <n v="1"/>
    <n v="3"/>
    <n v="7"/>
    <x v="4"/>
    <m/>
  </r>
  <r>
    <x v="0"/>
    <s v="Travel_Rarely"/>
    <x v="2"/>
    <s v="Current Employees"/>
    <x v="3"/>
    <x v="1"/>
    <s v="STAFF-479"/>
    <n v="479"/>
    <x v="0"/>
    <x v="7"/>
    <x v="0"/>
    <s v="No"/>
    <n v="40"/>
    <n v="61033"/>
    <n v="2"/>
    <n v="2"/>
    <n v="27"/>
    <n v="11"/>
    <n v="4"/>
    <n v="2"/>
    <n v="4"/>
    <n v="10"/>
    <x v="0"/>
    <m/>
  </r>
  <r>
    <x v="0"/>
    <s v="Travel_Frequently"/>
    <x v="2"/>
    <s v="Current Employees"/>
    <x v="0"/>
    <x v="4"/>
    <s v="STAFF-480"/>
    <n v="480"/>
    <x v="1"/>
    <x v="7"/>
    <x v="1"/>
    <s v="Yes"/>
    <n v="51"/>
    <n v="133704"/>
    <n v="4"/>
    <n v="4"/>
    <n v="9"/>
    <n v="30"/>
    <n v="0"/>
    <n v="4"/>
    <n v="4"/>
    <n v="28"/>
    <x v="1"/>
    <m/>
  </r>
  <r>
    <x v="0"/>
    <s v="Non-Travel"/>
    <x v="4"/>
    <s v="Current Employees"/>
    <x v="2"/>
    <x v="0"/>
    <s v="STAFF-481"/>
    <n v="481"/>
    <x v="0"/>
    <x v="8"/>
    <x v="1"/>
    <s v="No"/>
    <n v="40"/>
    <n v="136909"/>
    <n v="3"/>
    <n v="4"/>
    <n v="35"/>
    <n v="38"/>
    <n v="3"/>
    <n v="1"/>
    <n v="4"/>
    <n v="5"/>
    <x v="2"/>
    <m/>
  </r>
  <r>
    <x v="0"/>
    <s v="Travel_Rarely"/>
    <x v="4"/>
    <s v="Current Employees"/>
    <x v="4"/>
    <x v="1"/>
    <s v="STAFF-482"/>
    <n v="482"/>
    <x v="1"/>
    <x v="9"/>
    <x v="1"/>
    <s v="No"/>
    <n v="46"/>
    <n v="115817"/>
    <n v="4"/>
    <n v="4"/>
    <n v="19"/>
    <n v="41"/>
    <n v="4"/>
    <n v="1"/>
    <n v="4"/>
    <n v="29"/>
    <x v="1"/>
    <m/>
  </r>
  <r>
    <x v="1"/>
    <s v="Travel_Rarely"/>
    <x v="1"/>
    <s v="Ex-Employees"/>
    <x v="2"/>
    <x v="0"/>
    <s v="STAFF-483"/>
    <n v="483"/>
    <x v="1"/>
    <x v="8"/>
    <x v="0"/>
    <s v="No"/>
    <n v="53"/>
    <n v="146089"/>
    <n v="3"/>
    <n v="1"/>
    <n v="24"/>
    <n v="27"/>
    <n v="5"/>
    <n v="2"/>
    <n v="3"/>
    <n v="16"/>
    <x v="1"/>
    <m/>
  </r>
  <r>
    <x v="1"/>
    <s v="Non-Travel"/>
    <x v="1"/>
    <s v="Ex-Employees"/>
    <x v="5"/>
    <x v="4"/>
    <s v="STAFF-484"/>
    <n v="484"/>
    <x v="0"/>
    <x v="8"/>
    <x v="0"/>
    <s v="No"/>
    <n v="30"/>
    <n v="84660"/>
    <n v="2"/>
    <n v="2"/>
    <n v="0"/>
    <n v="7"/>
    <n v="6"/>
    <n v="1"/>
    <n v="4"/>
    <n v="13"/>
    <x v="0"/>
    <m/>
  </r>
  <r>
    <x v="1"/>
    <s v="Travel_Frequently"/>
    <x v="0"/>
    <s v="Ex-Employees"/>
    <x v="3"/>
    <x v="0"/>
    <s v="STAFF-485"/>
    <n v="485"/>
    <x v="1"/>
    <x v="8"/>
    <x v="0"/>
    <s v="No"/>
    <n v="53"/>
    <n v="157775"/>
    <n v="4"/>
    <n v="3"/>
    <n v="26"/>
    <n v="5"/>
    <n v="0"/>
    <n v="3"/>
    <n v="3"/>
    <n v="9"/>
    <x v="4"/>
    <m/>
  </r>
  <r>
    <x v="1"/>
    <s v="Travel_Rarely"/>
    <x v="1"/>
    <s v="Ex-Employees"/>
    <x v="0"/>
    <x v="0"/>
    <s v="STAFF-486"/>
    <n v="486"/>
    <x v="1"/>
    <x v="5"/>
    <x v="2"/>
    <s v="Yes"/>
    <n v="47"/>
    <n v="155615"/>
    <n v="4"/>
    <n v="3"/>
    <n v="27"/>
    <n v="10"/>
    <n v="1"/>
    <n v="3"/>
    <n v="3"/>
    <n v="23"/>
    <x v="4"/>
    <m/>
  </r>
  <r>
    <x v="0"/>
    <s v="Travel_Frequently"/>
    <x v="1"/>
    <s v="Current Employees"/>
    <x v="4"/>
    <x v="1"/>
    <s v="STAFF-487"/>
    <n v="487"/>
    <x v="0"/>
    <x v="6"/>
    <x v="2"/>
    <s v="Yes"/>
    <n v="32"/>
    <n v="68301"/>
    <n v="3"/>
    <n v="4"/>
    <n v="28"/>
    <n v="40"/>
    <n v="4"/>
    <n v="1"/>
    <n v="3"/>
    <n v="3"/>
    <x v="3"/>
    <m/>
  </r>
  <r>
    <x v="0"/>
    <s v="Travel_Frequently"/>
    <x v="1"/>
    <s v="Current Employees"/>
    <x v="4"/>
    <x v="4"/>
    <s v="STAFF-488"/>
    <n v="488"/>
    <x v="0"/>
    <x v="9"/>
    <x v="1"/>
    <s v="Yes"/>
    <n v="21"/>
    <n v="34005"/>
    <n v="3"/>
    <n v="1"/>
    <n v="37"/>
    <n v="2"/>
    <n v="0"/>
    <n v="2"/>
    <n v="3"/>
    <n v="13"/>
    <x v="0"/>
    <m/>
  </r>
  <r>
    <x v="0"/>
    <s v="Travel_Frequently"/>
    <x v="3"/>
    <s v="Current Employees"/>
    <x v="0"/>
    <x v="5"/>
    <s v="STAFF-489"/>
    <n v="489"/>
    <x v="1"/>
    <x v="2"/>
    <x v="1"/>
    <s v="No"/>
    <n v="44"/>
    <n v="107935"/>
    <n v="3"/>
    <n v="2"/>
    <n v="23"/>
    <n v="42"/>
    <n v="3"/>
    <n v="4"/>
    <n v="3"/>
    <n v="12"/>
    <x v="3"/>
    <m/>
  </r>
  <r>
    <x v="0"/>
    <s v="Travel_Frequently"/>
    <x v="0"/>
    <s v="Current Employees"/>
    <x v="5"/>
    <x v="3"/>
    <s v="STAFF-490"/>
    <n v="490"/>
    <x v="0"/>
    <x v="5"/>
    <x v="0"/>
    <s v="Yes"/>
    <n v="54"/>
    <n v="91260"/>
    <n v="2"/>
    <n v="3"/>
    <n v="28"/>
    <n v="39"/>
    <n v="5"/>
    <n v="4"/>
    <n v="4"/>
    <n v="22"/>
    <x v="4"/>
    <m/>
  </r>
  <r>
    <x v="0"/>
    <s v="Travel_Rarely"/>
    <x v="2"/>
    <s v="Current Employees"/>
    <x v="0"/>
    <x v="3"/>
    <s v="STAFF-491"/>
    <n v="491"/>
    <x v="1"/>
    <x v="5"/>
    <x v="0"/>
    <s v="No"/>
    <n v="49"/>
    <n v="79225"/>
    <n v="4"/>
    <n v="4"/>
    <n v="39"/>
    <n v="5"/>
    <n v="2"/>
    <n v="4"/>
    <n v="4"/>
    <n v="22"/>
    <x v="1"/>
    <m/>
  </r>
  <r>
    <x v="0"/>
    <s v="Non-Travel"/>
    <x v="1"/>
    <s v="Current Employees"/>
    <x v="3"/>
    <x v="0"/>
    <s v="STAFF-492"/>
    <n v="492"/>
    <x v="0"/>
    <x v="6"/>
    <x v="1"/>
    <s v="Yes"/>
    <n v="40"/>
    <n v="161850"/>
    <n v="4"/>
    <n v="2"/>
    <n v="28"/>
    <n v="7"/>
    <n v="3"/>
    <n v="2"/>
    <n v="3"/>
    <n v="7"/>
    <x v="4"/>
    <m/>
  </r>
  <r>
    <x v="0"/>
    <s v="Travel_Rarely"/>
    <x v="2"/>
    <s v="Current Employees"/>
    <x v="4"/>
    <x v="5"/>
    <s v="STAFF-493"/>
    <n v="493"/>
    <x v="0"/>
    <x v="6"/>
    <x v="1"/>
    <s v="No"/>
    <n v="38"/>
    <n v="75770"/>
    <n v="3"/>
    <n v="4"/>
    <n v="7"/>
    <n v="42"/>
    <n v="1"/>
    <n v="4"/>
    <n v="3"/>
    <n v="26"/>
    <x v="3"/>
    <m/>
  </r>
  <r>
    <x v="1"/>
    <s v="Travel_Rarely"/>
    <x v="4"/>
    <s v="Ex-Employees"/>
    <x v="2"/>
    <x v="3"/>
    <s v="STAFF-494"/>
    <n v="494"/>
    <x v="1"/>
    <x v="7"/>
    <x v="0"/>
    <s v="No"/>
    <n v="56"/>
    <n v="132547"/>
    <n v="2"/>
    <n v="2"/>
    <n v="16"/>
    <n v="7"/>
    <n v="2"/>
    <n v="1"/>
    <n v="3"/>
    <n v="3"/>
    <x v="3"/>
    <m/>
  </r>
  <r>
    <x v="0"/>
    <s v="Travel_Rarely"/>
    <x v="4"/>
    <s v="Current Employees"/>
    <x v="5"/>
    <x v="1"/>
    <s v="STAFF-495"/>
    <n v="495"/>
    <x v="1"/>
    <x v="6"/>
    <x v="1"/>
    <s v="No"/>
    <n v="57"/>
    <n v="18440"/>
    <n v="3"/>
    <n v="1"/>
    <n v="37"/>
    <n v="34"/>
    <n v="1"/>
    <n v="4"/>
    <n v="4"/>
    <n v="11"/>
    <x v="3"/>
    <m/>
  </r>
  <r>
    <x v="0"/>
    <s v="Non-Travel"/>
    <x v="4"/>
    <s v="Current Employees"/>
    <x v="3"/>
    <x v="3"/>
    <s v="STAFF-496"/>
    <n v="496"/>
    <x v="0"/>
    <x v="0"/>
    <x v="1"/>
    <s v="Yes"/>
    <n v="55"/>
    <n v="138744"/>
    <n v="3"/>
    <n v="2"/>
    <n v="18"/>
    <n v="14"/>
    <n v="3"/>
    <n v="4"/>
    <n v="3"/>
    <n v="20"/>
    <x v="3"/>
    <m/>
  </r>
  <r>
    <x v="0"/>
    <s v="Travel_Rarely"/>
    <x v="2"/>
    <s v="Current Employees"/>
    <x v="5"/>
    <x v="1"/>
    <s v="STAFF-497"/>
    <n v="497"/>
    <x v="1"/>
    <x v="8"/>
    <x v="0"/>
    <s v="Yes"/>
    <n v="38"/>
    <n v="168463"/>
    <n v="4"/>
    <n v="2"/>
    <n v="31"/>
    <n v="18"/>
    <n v="5"/>
    <n v="4"/>
    <n v="3"/>
    <n v="26"/>
    <x v="3"/>
    <m/>
  </r>
  <r>
    <x v="0"/>
    <s v="Travel_Rarely"/>
    <x v="2"/>
    <s v="Current Employees"/>
    <x v="5"/>
    <x v="3"/>
    <s v="STAFF-498"/>
    <n v="498"/>
    <x v="0"/>
    <x v="6"/>
    <x v="1"/>
    <s v="No"/>
    <n v="40"/>
    <n v="59731"/>
    <n v="1"/>
    <n v="4"/>
    <n v="21"/>
    <n v="27"/>
    <n v="5"/>
    <n v="4"/>
    <n v="4"/>
    <n v="25"/>
    <x v="2"/>
    <m/>
  </r>
  <r>
    <x v="0"/>
    <s v="Travel_Frequently"/>
    <x v="2"/>
    <s v="Current Employees"/>
    <x v="0"/>
    <x v="3"/>
    <s v="STAFF-499"/>
    <n v="499"/>
    <x v="0"/>
    <x v="4"/>
    <x v="1"/>
    <s v="Yes"/>
    <n v="29"/>
    <n v="102782"/>
    <n v="1"/>
    <n v="3"/>
    <n v="29"/>
    <n v="41"/>
    <n v="1"/>
    <n v="2"/>
    <n v="4"/>
    <n v="23"/>
    <x v="2"/>
    <m/>
  </r>
  <r>
    <x v="0"/>
    <s v="Non-Travel"/>
    <x v="1"/>
    <s v="Current Employees"/>
    <x v="3"/>
    <x v="0"/>
    <s v="STAFF-500"/>
    <n v="500"/>
    <x v="0"/>
    <x v="1"/>
    <x v="0"/>
    <s v="Yes"/>
    <n v="30"/>
    <n v="116711"/>
    <n v="4"/>
    <n v="2"/>
    <n v="3"/>
    <n v="6"/>
    <n v="2"/>
    <n v="4"/>
    <n v="3"/>
    <n v="2"/>
    <x v="1"/>
    <m/>
  </r>
  <r>
    <x v="1"/>
    <s v="Travel_Frequently"/>
    <x v="2"/>
    <s v="Ex-Employees"/>
    <x v="2"/>
    <x v="0"/>
    <s v="STAFF-501"/>
    <n v="501"/>
    <x v="1"/>
    <x v="3"/>
    <x v="2"/>
    <s v="Yes"/>
    <n v="36"/>
    <n v="121978"/>
    <n v="4"/>
    <n v="3"/>
    <n v="38"/>
    <n v="11"/>
    <n v="5"/>
    <n v="4"/>
    <n v="3"/>
    <n v="25"/>
    <x v="2"/>
    <m/>
  </r>
  <r>
    <x v="1"/>
    <s v="Non-Travel"/>
    <x v="2"/>
    <s v="Ex-Employees"/>
    <x v="0"/>
    <x v="3"/>
    <s v="STAFF-502"/>
    <n v="502"/>
    <x v="1"/>
    <x v="1"/>
    <x v="2"/>
    <s v="Yes"/>
    <n v="28"/>
    <n v="39662"/>
    <n v="1"/>
    <n v="4"/>
    <n v="32"/>
    <n v="14"/>
    <n v="0"/>
    <n v="4"/>
    <n v="4"/>
    <n v="23"/>
    <x v="1"/>
    <m/>
  </r>
  <r>
    <x v="0"/>
    <s v="Non-Travel"/>
    <x v="1"/>
    <s v="Current Employees"/>
    <x v="1"/>
    <x v="3"/>
    <s v="STAFF-503"/>
    <n v="503"/>
    <x v="1"/>
    <x v="8"/>
    <x v="0"/>
    <s v="Yes"/>
    <n v="27"/>
    <n v="103256"/>
    <n v="1"/>
    <n v="2"/>
    <n v="25"/>
    <n v="1"/>
    <n v="3"/>
    <n v="4"/>
    <n v="3"/>
    <n v="17"/>
    <x v="0"/>
    <m/>
  </r>
  <r>
    <x v="0"/>
    <s v="Travel_Rarely"/>
    <x v="4"/>
    <s v="Current Employees"/>
    <x v="5"/>
    <x v="0"/>
    <s v="STAFF-504"/>
    <n v="504"/>
    <x v="0"/>
    <x v="6"/>
    <x v="0"/>
    <s v="Yes"/>
    <n v="21"/>
    <n v="163416"/>
    <n v="4"/>
    <n v="3"/>
    <n v="7"/>
    <n v="2"/>
    <n v="1"/>
    <n v="2"/>
    <n v="3"/>
    <n v="3"/>
    <x v="0"/>
    <m/>
  </r>
  <r>
    <x v="0"/>
    <s v="Travel_Rarely"/>
    <x v="4"/>
    <s v="Current Employees"/>
    <x v="4"/>
    <x v="1"/>
    <s v="STAFF-505"/>
    <n v="505"/>
    <x v="1"/>
    <x v="1"/>
    <x v="0"/>
    <s v="Yes"/>
    <n v="48"/>
    <n v="18022"/>
    <n v="2"/>
    <n v="3"/>
    <n v="2"/>
    <n v="33"/>
    <n v="6"/>
    <n v="3"/>
    <n v="4"/>
    <n v="5"/>
    <x v="0"/>
    <m/>
  </r>
  <r>
    <x v="0"/>
    <s v="Non-Travel"/>
    <x v="1"/>
    <s v="Current Employees"/>
    <x v="0"/>
    <x v="1"/>
    <s v="STAFF-506"/>
    <n v="506"/>
    <x v="0"/>
    <x v="0"/>
    <x v="0"/>
    <s v="Yes"/>
    <n v="36"/>
    <n v="27629"/>
    <n v="2"/>
    <n v="2"/>
    <n v="19"/>
    <n v="13"/>
    <n v="1"/>
    <n v="2"/>
    <n v="4"/>
    <n v="9"/>
    <x v="4"/>
    <m/>
  </r>
  <r>
    <x v="0"/>
    <s v="Travel_Frequently"/>
    <x v="1"/>
    <s v="Current Employees"/>
    <x v="2"/>
    <x v="2"/>
    <s v="STAFF-507"/>
    <n v="507"/>
    <x v="1"/>
    <x v="6"/>
    <x v="1"/>
    <s v="No"/>
    <n v="26"/>
    <n v="84631"/>
    <n v="4"/>
    <n v="2"/>
    <n v="34"/>
    <n v="13"/>
    <n v="0"/>
    <n v="3"/>
    <n v="3"/>
    <n v="23"/>
    <x v="3"/>
    <m/>
  </r>
  <r>
    <x v="0"/>
    <s v="Non-Travel"/>
    <x v="2"/>
    <s v="Current Employees"/>
    <x v="2"/>
    <x v="0"/>
    <s v="STAFF-508"/>
    <n v="508"/>
    <x v="1"/>
    <x v="6"/>
    <x v="1"/>
    <s v="No"/>
    <n v="45"/>
    <n v="24792"/>
    <n v="2"/>
    <n v="1"/>
    <n v="17"/>
    <n v="7"/>
    <n v="4"/>
    <n v="1"/>
    <n v="4"/>
    <n v="3"/>
    <x v="3"/>
    <m/>
  </r>
  <r>
    <x v="0"/>
    <s v="Travel_Frequently"/>
    <x v="1"/>
    <s v="Current Employees"/>
    <x v="0"/>
    <x v="0"/>
    <s v="STAFF-509"/>
    <n v="509"/>
    <x v="0"/>
    <x v="8"/>
    <x v="2"/>
    <s v="Yes"/>
    <n v="45"/>
    <n v="76255"/>
    <n v="4"/>
    <n v="1"/>
    <n v="7"/>
    <n v="11"/>
    <n v="4"/>
    <n v="3"/>
    <n v="4"/>
    <n v="4"/>
    <x v="0"/>
    <m/>
  </r>
  <r>
    <x v="0"/>
    <s v="Non-Travel"/>
    <x v="2"/>
    <s v="Current Employees"/>
    <x v="0"/>
    <x v="2"/>
    <s v="STAFF-510"/>
    <n v="510"/>
    <x v="0"/>
    <x v="5"/>
    <x v="2"/>
    <s v="No"/>
    <n v="45"/>
    <n v="65362"/>
    <n v="3"/>
    <n v="4"/>
    <n v="30"/>
    <n v="37"/>
    <n v="1"/>
    <n v="3"/>
    <n v="3"/>
    <n v="22"/>
    <x v="0"/>
    <m/>
  </r>
  <r>
    <x v="0"/>
    <s v="Travel_Frequently"/>
    <x v="2"/>
    <s v="Current Employees"/>
    <x v="3"/>
    <x v="1"/>
    <s v="STAFF-511"/>
    <n v="511"/>
    <x v="1"/>
    <x v="5"/>
    <x v="0"/>
    <s v="No"/>
    <n v="36"/>
    <n v="177567"/>
    <n v="4"/>
    <n v="4"/>
    <n v="11"/>
    <n v="28"/>
    <n v="2"/>
    <n v="4"/>
    <n v="4"/>
    <n v="9"/>
    <x v="2"/>
    <m/>
  </r>
  <r>
    <x v="0"/>
    <s v="Travel_Frequently"/>
    <x v="2"/>
    <s v="Current Employees"/>
    <x v="3"/>
    <x v="3"/>
    <s v="STAFF-512"/>
    <n v="512"/>
    <x v="0"/>
    <x v="8"/>
    <x v="1"/>
    <s v="No"/>
    <n v="26"/>
    <n v="38833"/>
    <n v="1"/>
    <n v="2"/>
    <n v="5"/>
    <n v="10"/>
    <n v="4"/>
    <n v="1"/>
    <n v="3"/>
    <n v="24"/>
    <x v="3"/>
    <m/>
  </r>
  <r>
    <x v="0"/>
    <s v="Travel_Frequently"/>
    <x v="2"/>
    <s v="Current Employees"/>
    <x v="4"/>
    <x v="3"/>
    <s v="STAFF-513"/>
    <n v="513"/>
    <x v="0"/>
    <x v="9"/>
    <x v="1"/>
    <s v="Yes"/>
    <n v="46"/>
    <n v="21643"/>
    <n v="2"/>
    <n v="1"/>
    <n v="27"/>
    <n v="34"/>
    <n v="5"/>
    <n v="3"/>
    <n v="3"/>
    <n v="24"/>
    <x v="0"/>
    <m/>
  </r>
  <r>
    <x v="0"/>
    <s v="Travel_Rarely"/>
    <x v="0"/>
    <s v="Current Employees"/>
    <x v="1"/>
    <x v="3"/>
    <s v="STAFF-514"/>
    <n v="514"/>
    <x v="0"/>
    <x v="6"/>
    <x v="2"/>
    <s v="No"/>
    <n v="29"/>
    <n v="152659"/>
    <n v="3"/>
    <n v="1"/>
    <n v="27"/>
    <n v="31"/>
    <n v="3"/>
    <n v="2"/>
    <n v="4"/>
    <n v="4"/>
    <x v="3"/>
    <m/>
  </r>
  <r>
    <x v="1"/>
    <s v="Travel_Rarely"/>
    <x v="1"/>
    <s v="Ex-Employees"/>
    <x v="2"/>
    <x v="2"/>
    <s v="STAFF-515"/>
    <n v="515"/>
    <x v="1"/>
    <x v="9"/>
    <x v="1"/>
    <s v="No"/>
    <n v="34"/>
    <n v="18585"/>
    <n v="4"/>
    <n v="2"/>
    <n v="19"/>
    <n v="41"/>
    <n v="4"/>
    <n v="1"/>
    <n v="4"/>
    <n v="29"/>
    <x v="0"/>
    <m/>
  </r>
  <r>
    <x v="1"/>
    <s v="Non-Travel"/>
    <x v="0"/>
    <s v="Ex-Employees"/>
    <x v="4"/>
    <x v="5"/>
    <s v="STAFF-516"/>
    <n v="516"/>
    <x v="1"/>
    <x v="8"/>
    <x v="1"/>
    <s v="Yes"/>
    <n v="21"/>
    <n v="109677"/>
    <n v="2"/>
    <n v="4"/>
    <n v="22"/>
    <n v="0"/>
    <n v="0"/>
    <n v="4"/>
    <n v="4"/>
    <n v="7"/>
    <x v="1"/>
    <m/>
  </r>
  <r>
    <x v="0"/>
    <s v="Travel_Rarely"/>
    <x v="4"/>
    <s v="Current Employees"/>
    <x v="1"/>
    <x v="5"/>
    <s v="STAFF-517"/>
    <n v="517"/>
    <x v="0"/>
    <x v="6"/>
    <x v="0"/>
    <s v="No"/>
    <n v="35"/>
    <n v="141390"/>
    <n v="4"/>
    <n v="3"/>
    <n v="19"/>
    <n v="23"/>
    <n v="3"/>
    <n v="2"/>
    <n v="4"/>
    <n v="4"/>
    <x v="2"/>
    <m/>
  </r>
  <r>
    <x v="0"/>
    <s v="Travel_Frequently"/>
    <x v="1"/>
    <s v="Current Employees"/>
    <x v="3"/>
    <x v="3"/>
    <s v="STAFF-518"/>
    <n v="518"/>
    <x v="1"/>
    <x v="5"/>
    <x v="1"/>
    <s v="Yes"/>
    <n v="28"/>
    <n v="67693"/>
    <n v="3"/>
    <n v="1"/>
    <n v="8"/>
    <n v="25"/>
    <n v="3"/>
    <n v="3"/>
    <n v="3"/>
    <n v="6"/>
    <x v="4"/>
    <m/>
  </r>
  <r>
    <x v="1"/>
    <s v="Travel_Rarely"/>
    <x v="3"/>
    <s v="Ex-Employees"/>
    <x v="0"/>
    <x v="5"/>
    <s v="STAFF-519"/>
    <n v="519"/>
    <x v="1"/>
    <x v="4"/>
    <x v="1"/>
    <s v="Yes"/>
    <n v="41"/>
    <n v="122825"/>
    <n v="4"/>
    <n v="2"/>
    <n v="7"/>
    <n v="6"/>
    <n v="6"/>
    <n v="1"/>
    <n v="3"/>
    <n v="5"/>
    <x v="3"/>
    <m/>
  </r>
  <r>
    <x v="0"/>
    <s v="Travel_Rarely"/>
    <x v="4"/>
    <s v="Current Employees"/>
    <x v="3"/>
    <x v="3"/>
    <s v="STAFF-520"/>
    <n v="520"/>
    <x v="1"/>
    <x v="7"/>
    <x v="0"/>
    <s v="Yes"/>
    <n v="48"/>
    <n v="143879"/>
    <n v="3"/>
    <n v="3"/>
    <n v="31"/>
    <n v="5"/>
    <n v="6"/>
    <n v="4"/>
    <n v="3"/>
    <n v="20"/>
    <x v="4"/>
    <m/>
  </r>
  <r>
    <x v="0"/>
    <s v="Travel_Rarely"/>
    <x v="1"/>
    <s v="Current Employees"/>
    <x v="0"/>
    <x v="2"/>
    <s v="STAFF-521"/>
    <n v="521"/>
    <x v="0"/>
    <x v="7"/>
    <x v="2"/>
    <s v="No"/>
    <n v="27"/>
    <n v="149683"/>
    <n v="2"/>
    <n v="2"/>
    <n v="37"/>
    <n v="40"/>
    <n v="5"/>
    <n v="2"/>
    <n v="3"/>
    <n v="4"/>
    <x v="4"/>
    <m/>
  </r>
  <r>
    <x v="0"/>
    <s v="Travel_Rarely"/>
    <x v="1"/>
    <s v="Current Employees"/>
    <x v="3"/>
    <x v="5"/>
    <s v="STAFF-522"/>
    <n v="522"/>
    <x v="0"/>
    <x v="2"/>
    <x v="2"/>
    <s v="Yes"/>
    <n v="24"/>
    <n v="117707"/>
    <n v="4"/>
    <n v="3"/>
    <n v="40"/>
    <n v="14"/>
    <n v="1"/>
    <n v="3"/>
    <n v="4"/>
    <n v="16"/>
    <x v="1"/>
    <m/>
  </r>
  <r>
    <x v="0"/>
    <s v="Travel_Rarely"/>
    <x v="2"/>
    <s v="Current Employees"/>
    <x v="0"/>
    <x v="2"/>
    <s v="STAFF-523"/>
    <n v="523"/>
    <x v="1"/>
    <x v="8"/>
    <x v="1"/>
    <s v="No"/>
    <n v="36"/>
    <n v="101844"/>
    <n v="1"/>
    <n v="2"/>
    <n v="2"/>
    <n v="0"/>
    <n v="0"/>
    <n v="3"/>
    <n v="3"/>
    <n v="10"/>
    <x v="2"/>
    <m/>
  </r>
  <r>
    <x v="0"/>
    <s v="Travel_Rarely"/>
    <x v="2"/>
    <s v="Current Employees"/>
    <x v="1"/>
    <x v="2"/>
    <s v="STAFF-524"/>
    <n v="524"/>
    <x v="1"/>
    <x v="1"/>
    <x v="1"/>
    <s v="No"/>
    <n v="28"/>
    <n v="43398"/>
    <n v="1"/>
    <n v="2"/>
    <n v="21"/>
    <n v="23"/>
    <n v="5"/>
    <n v="3"/>
    <n v="4"/>
    <n v="8"/>
    <x v="3"/>
    <m/>
  </r>
  <r>
    <x v="0"/>
    <s v="Travel_Rarely"/>
    <x v="1"/>
    <s v="Current Employees"/>
    <x v="4"/>
    <x v="3"/>
    <s v="STAFF-525"/>
    <n v="525"/>
    <x v="0"/>
    <x v="5"/>
    <x v="0"/>
    <s v="Yes"/>
    <n v="33"/>
    <n v="134855"/>
    <n v="1"/>
    <n v="1"/>
    <n v="34"/>
    <n v="39"/>
    <n v="2"/>
    <n v="3"/>
    <n v="4"/>
    <n v="25"/>
    <x v="4"/>
    <m/>
  </r>
  <r>
    <x v="0"/>
    <s v="Travel_Rarely"/>
    <x v="1"/>
    <s v="Current Employees"/>
    <x v="3"/>
    <x v="5"/>
    <s v="STAFF-526"/>
    <n v="526"/>
    <x v="1"/>
    <x v="4"/>
    <x v="1"/>
    <s v="No"/>
    <n v="49"/>
    <n v="48783"/>
    <n v="4"/>
    <n v="1"/>
    <n v="30"/>
    <n v="26"/>
    <n v="4"/>
    <n v="1"/>
    <n v="3"/>
    <n v="20"/>
    <x v="3"/>
    <m/>
  </r>
  <r>
    <x v="0"/>
    <s v="Non-Travel"/>
    <x v="1"/>
    <s v="Current Employees"/>
    <x v="4"/>
    <x v="4"/>
    <s v="STAFF-527"/>
    <n v="527"/>
    <x v="0"/>
    <x v="7"/>
    <x v="1"/>
    <s v="Yes"/>
    <n v="31"/>
    <n v="132752"/>
    <n v="4"/>
    <n v="4"/>
    <n v="25"/>
    <n v="38"/>
    <n v="2"/>
    <n v="2"/>
    <n v="3"/>
    <n v="1"/>
    <x v="4"/>
    <m/>
  </r>
  <r>
    <x v="0"/>
    <s v="Non-Travel"/>
    <x v="2"/>
    <s v="Current Employees"/>
    <x v="4"/>
    <x v="5"/>
    <s v="STAFF-528"/>
    <n v="528"/>
    <x v="1"/>
    <x v="8"/>
    <x v="2"/>
    <s v="No"/>
    <n v="38"/>
    <n v="162743"/>
    <n v="1"/>
    <n v="2"/>
    <n v="14"/>
    <n v="2"/>
    <n v="4"/>
    <n v="2"/>
    <n v="4"/>
    <n v="2"/>
    <x v="4"/>
    <m/>
  </r>
  <r>
    <x v="1"/>
    <s v="Travel_Frequently"/>
    <x v="1"/>
    <s v="Ex-Employees"/>
    <x v="3"/>
    <x v="4"/>
    <s v="STAFF-529"/>
    <n v="529"/>
    <x v="0"/>
    <x v="3"/>
    <x v="0"/>
    <s v="Yes"/>
    <n v="21"/>
    <n v="109085"/>
    <n v="3"/>
    <n v="3"/>
    <n v="5"/>
    <n v="35"/>
    <n v="2"/>
    <n v="2"/>
    <n v="4"/>
    <n v="29"/>
    <x v="0"/>
    <m/>
  </r>
  <r>
    <x v="0"/>
    <s v="Travel_Rarely"/>
    <x v="3"/>
    <s v="Current Employees"/>
    <x v="5"/>
    <x v="2"/>
    <s v="STAFF-530"/>
    <n v="530"/>
    <x v="0"/>
    <x v="8"/>
    <x v="2"/>
    <s v="No"/>
    <n v="22"/>
    <n v="158873"/>
    <n v="1"/>
    <n v="4"/>
    <n v="16"/>
    <n v="40"/>
    <n v="5"/>
    <n v="2"/>
    <n v="4"/>
    <n v="8"/>
    <x v="3"/>
    <m/>
  </r>
  <r>
    <x v="0"/>
    <s v="Travel_Rarely"/>
    <x v="2"/>
    <s v="Current Employees"/>
    <x v="1"/>
    <x v="5"/>
    <s v="STAFF-531"/>
    <n v="531"/>
    <x v="0"/>
    <x v="7"/>
    <x v="1"/>
    <s v="Yes"/>
    <n v="51"/>
    <n v="42560"/>
    <n v="4"/>
    <n v="2"/>
    <n v="29"/>
    <n v="11"/>
    <n v="6"/>
    <n v="2"/>
    <n v="3"/>
    <n v="19"/>
    <x v="2"/>
    <m/>
  </r>
  <r>
    <x v="1"/>
    <s v="Travel_Rarely"/>
    <x v="1"/>
    <s v="Ex-Employees"/>
    <x v="0"/>
    <x v="2"/>
    <s v="STAFF-532"/>
    <n v="532"/>
    <x v="0"/>
    <x v="6"/>
    <x v="1"/>
    <s v="Yes"/>
    <n v="25"/>
    <n v="55623"/>
    <n v="1"/>
    <n v="4"/>
    <n v="15"/>
    <n v="29"/>
    <n v="5"/>
    <n v="4"/>
    <n v="3"/>
    <n v="24"/>
    <x v="0"/>
    <m/>
  </r>
  <r>
    <x v="0"/>
    <s v="Non-Travel"/>
    <x v="4"/>
    <s v="Current Employees"/>
    <x v="4"/>
    <x v="4"/>
    <s v="STAFF-533"/>
    <n v="533"/>
    <x v="1"/>
    <x v="7"/>
    <x v="2"/>
    <s v="Yes"/>
    <n v="21"/>
    <n v="29466"/>
    <n v="2"/>
    <n v="2"/>
    <n v="5"/>
    <n v="17"/>
    <n v="1"/>
    <n v="1"/>
    <n v="3"/>
    <n v="26"/>
    <x v="1"/>
    <m/>
  </r>
  <r>
    <x v="0"/>
    <s v="Travel_Rarely"/>
    <x v="4"/>
    <s v="Current Employees"/>
    <x v="5"/>
    <x v="0"/>
    <s v="STAFF-534"/>
    <n v="534"/>
    <x v="0"/>
    <x v="9"/>
    <x v="0"/>
    <s v="No"/>
    <n v="31"/>
    <n v="98579"/>
    <n v="3"/>
    <n v="4"/>
    <n v="9"/>
    <n v="15"/>
    <n v="0"/>
    <n v="3"/>
    <n v="3"/>
    <n v="1"/>
    <x v="1"/>
    <m/>
  </r>
  <r>
    <x v="0"/>
    <s v="Travel_Frequently"/>
    <x v="1"/>
    <s v="Current Employees"/>
    <x v="2"/>
    <x v="0"/>
    <s v="STAFF-535"/>
    <n v="535"/>
    <x v="0"/>
    <x v="3"/>
    <x v="2"/>
    <s v="Yes"/>
    <n v="48"/>
    <n v="119025"/>
    <n v="2"/>
    <n v="3"/>
    <n v="18"/>
    <n v="14"/>
    <n v="5"/>
    <n v="4"/>
    <n v="3"/>
    <n v="16"/>
    <x v="4"/>
    <m/>
  </r>
  <r>
    <x v="1"/>
    <s v="Travel_Frequently"/>
    <x v="1"/>
    <s v="Ex-Employees"/>
    <x v="0"/>
    <x v="4"/>
    <s v="STAFF-536"/>
    <n v="536"/>
    <x v="1"/>
    <x v="0"/>
    <x v="1"/>
    <s v="Yes"/>
    <n v="23"/>
    <n v="176467"/>
    <n v="2"/>
    <n v="2"/>
    <n v="27"/>
    <n v="33"/>
    <n v="2"/>
    <n v="2"/>
    <n v="4"/>
    <n v="5"/>
    <x v="3"/>
    <m/>
  </r>
  <r>
    <x v="0"/>
    <s v="Travel_Frequently"/>
    <x v="1"/>
    <s v="Current Employees"/>
    <x v="4"/>
    <x v="5"/>
    <s v="STAFF-537"/>
    <n v="537"/>
    <x v="1"/>
    <x v="8"/>
    <x v="0"/>
    <s v="Yes"/>
    <n v="21"/>
    <n v="56965"/>
    <n v="2"/>
    <n v="3"/>
    <n v="9"/>
    <n v="24"/>
    <n v="3"/>
    <n v="4"/>
    <n v="3"/>
    <n v="4"/>
    <x v="0"/>
    <m/>
  </r>
  <r>
    <x v="0"/>
    <s v="Travel_Rarely"/>
    <x v="2"/>
    <s v="Current Employees"/>
    <x v="3"/>
    <x v="2"/>
    <s v="STAFF-538"/>
    <n v="538"/>
    <x v="0"/>
    <x v="6"/>
    <x v="1"/>
    <s v="No"/>
    <n v="41"/>
    <n v="147553"/>
    <n v="4"/>
    <n v="4"/>
    <n v="26"/>
    <n v="38"/>
    <n v="6"/>
    <n v="3"/>
    <n v="3"/>
    <n v="26"/>
    <x v="4"/>
    <m/>
  </r>
  <r>
    <x v="0"/>
    <s v="Non-Travel"/>
    <x v="2"/>
    <s v="Current Employees"/>
    <x v="2"/>
    <x v="5"/>
    <s v="STAFF-539"/>
    <n v="539"/>
    <x v="0"/>
    <x v="7"/>
    <x v="2"/>
    <s v="No"/>
    <n v="54"/>
    <n v="169486"/>
    <n v="2"/>
    <n v="1"/>
    <n v="15"/>
    <n v="23"/>
    <n v="0"/>
    <n v="2"/>
    <n v="3"/>
    <n v="12"/>
    <x v="0"/>
    <m/>
  </r>
  <r>
    <x v="0"/>
    <s v="Travel_Rarely"/>
    <x v="1"/>
    <s v="Current Employees"/>
    <x v="4"/>
    <x v="2"/>
    <s v="STAFF-540"/>
    <n v="540"/>
    <x v="1"/>
    <x v="6"/>
    <x v="1"/>
    <s v="No"/>
    <n v="30"/>
    <n v="162572"/>
    <n v="4"/>
    <n v="2"/>
    <n v="13"/>
    <n v="14"/>
    <n v="0"/>
    <n v="2"/>
    <n v="3"/>
    <n v="23"/>
    <x v="4"/>
    <m/>
  </r>
  <r>
    <x v="0"/>
    <s v="Travel_Frequently"/>
    <x v="0"/>
    <s v="Current Employees"/>
    <x v="1"/>
    <x v="4"/>
    <s v="STAFF-541"/>
    <n v="541"/>
    <x v="0"/>
    <x v="2"/>
    <x v="2"/>
    <s v="No"/>
    <n v="59"/>
    <n v="59464"/>
    <n v="1"/>
    <n v="2"/>
    <n v="23"/>
    <n v="9"/>
    <n v="0"/>
    <n v="2"/>
    <n v="3"/>
    <n v="1"/>
    <x v="0"/>
    <m/>
  </r>
  <r>
    <x v="0"/>
    <s v="Travel_Frequently"/>
    <x v="1"/>
    <s v="Current Employees"/>
    <x v="3"/>
    <x v="3"/>
    <s v="STAFF-542"/>
    <n v="542"/>
    <x v="0"/>
    <x v="4"/>
    <x v="0"/>
    <s v="No"/>
    <n v="51"/>
    <n v="125878"/>
    <n v="3"/>
    <n v="4"/>
    <n v="0"/>
    <n v="18"/>
    <n v="0"/>
    <n v="2"/>
    <n v="3"/>
    <n v="29"/>
    <x v="1"/>
    <m/>
  </r>
  <r>
    <x v="0"/>
    <s v="Travel_Rarely"/>
    <x v="1"/>
    <s v="Current Employees"/>
    <x v="3"/>
    <x v="5"/>
    <s v="STAFF-543"/>
    <n v="543"/>
    <x v="1"/>
    <x v="9"/>
    <x v="0"/>
    <s v="No"/>
    <n v="57"/>
    <n v="149562"/>
    <n v="3"/>
    <n v="2"/>
    <n v="27"/>
    <n v="10"/>
    <n v="2"/>
    <n v="1"/>
    <n v="4"/>
    <n v="5"/>
    <x v="4"/>
    <m/>
  </r>
  <r>
    <x v="0"/>
    <s v="Travel_Rarely"/>
    <x v="0"/>
    <s v="Current Employees"/>
    <x v="1"/>
    <x v="3"/>
    <s v="STAFF-544"/>
    <n v="544"/>
    <x v="0"/>
    <x v="9"/>
    <x v="1"/>
    <s v="No"/>
    <n v="46"/>
    <n v="117737"/>
    <n v="2"/>
    <n v="1"/>
    <n v="23"/>
    <n v="41"/>
    <n v="3"/>
    <n v="2"/>
    <n v="4"/>
    <n v="4"/>
    <x v="1"/>
    <m/>
  </r>
  <r>
    <x v="0"/>
    <s v="Travel_Rarely"/>
    <x v="2"/>
    <s v="Current Employees"/>
    <x v="0"/>
    <x v="0"/>
    <s v="STAFF-545"/>
    <n v="545"/>
    <x v="1"/>
    <x v="6"/>
    <x v="0"/>
    <s v="Yes"/>
    <n v="25"/>
    <n v="73550"/>
    <n v="1"/>
    <n v="3"/>
    <n v="12"/>
    <n v="35"/>
    <n v="1"/>
    <n v="1"/>
    <n v="3"/>
    <n v="9"/>
    <x v="1"/>
    <m/>
  </r>
  <r>
    <x v="1"/>
    <s v="Travel_Frequently"/>
    <x v="2"/>
    <s v="Ex-Employees"/>
    <x v="2"/>
    <x v="4"/>
    <s v="STAFF-546"/>
    <n v="546"/>
    <x v="0"/>
    <x v="1"/>
    <x v="2"/>
    <s v="No"/>
    <n v="21"/>
    <n v="111493"/>
    <n v="3"/>
    <n v="4"/>
    <n v="32"/>
    <n v="12"/>
    <n v="2"/>
    <n v="4"/>
    <n v="4"/>
    <n v="5"/>
    <x v="1"/>
    <m/>
  </r>
  <r>
    <x v="0"/>
    <s v="Travel_Rarely"/>
    <x v="4"/>
    <s v="Current Employees"/>
    <x v="2"/>
    <x v="1"/>
    <s v="STAFF-547"/>
    <n v="547"/>
    <x v="0"/>
    <x v="5"/>
    <x v="0"/>
    <s v="No"/>
    <n v="51"/>
    <n v="171710"/>
    <n v="1"/>
    <n v="3"/>
    <n v="10"/>
    <n v="9"/>
    <n v="5"/>
    <n v="4"/>
    <n v="3"/>
    <n v="29"/>
    <x v="1"/>
    <m/>
  </r>
  <r>
    <x v="1"/>
    <s v="Non-Travel"/>
    <x v="1"/>
    <s v="Ex-Employees"/>
    <x v="3"/>
    <x v="3"/>
    <s v="STAFF-548"/>
    <n v="548"/>
    <x v="0"/>
    <x v="6"/>
    <x v="0"/>
    <s v="No"/>
    <n v="49"/>
    <n v="52392"/>
    <n v="3"/>
    <n v="3"/>
    <n v="23"/>
    <n v="39"/>
    <n v="6"/>
    <n v="4"/>
    <n v="3"/>
    <n v="29"/>
    <x v="2"/>
    <m/>
  </r>
  <r>
    <x v="0"/>
    <s v="Travel_Rarely"/>
    <x v="3"/>
    <s v="Current Employees"/>
    <x v="2"/>
    <x v="0"/>
    <s v="STAFF-549"/>
    <n v="549"/>
    <x v="1"/>
    <x v="0"/>
    <x v="2"/>
    <s v="Yes"/>
    <n v="40"/>
    <n v="161428"/>
    <n v="1"/>
    <n v="4"/>
    <n v="6"/>
    <n v="29"/>
    <n v="2"/>
    <n v="2"/>
    <n v="4"/>
    <n v="6"/>
    <x v="1"/>
    <m/>
  </r>
  <r>
    <x v="0"/>
    <s v="Travel_Rarely"/>
    <x v="1"/>
    <s v="Current Employees"/>
    <x v="4"/>
    <x v="0"/>
    <s v="STAFF-550"/>
    <n v="550"/>
    <x v="1"/>
    <x v="8"/>
    <x v="1"/>
    <s v="No"/>
    <n v="49"/>
    <n v="54817"/>
    <n v="1"/>
    <n v="4"/>
    <n v="2"/>
    <n v="23"/>
    <n v="6"/>
    <n v="3"/>
    <n v="4"/>
    <n v="14"/>
    <x v="0"/>
    <m/>
  </r>
  <r>
    <x v="1"/>
    <s v="Non-Travel"/>
    <x v="1"/>
    <s v="Ex-Employees"/>
    <x v="0"/>
    <x v="1"/>
    <s v="STAFF-551"/>
    <n v="551"/>
    <x v="1"/>
    <x v="1"/>
    <x v="2"/>
    <s v="No"/>
    <n v="53"/>
    <n v="135988"/>
    <n v="3"/>
    <n v="1"/>
    <n v="39"/>
    <n v="41"/>
    <n v="0"/>
    <n v="2"/>
    <n v="3"/>
    <n v="5"/>
    <x v="1"/>
    <m/>
  </r>
  <r>
    <x v="0"/>
    <s v="Travel_Rarely"/>
    <x v="1"/>
    <s v="Current Employees"/>
    <x v="1"/>
    <x v="0"/>
    <s v="STAFF-552"/>
    <n v="552"/>
    <x v="1"/>
    <x v="9"/>
    <x v="0"/>
    <s v="Yes"/>
    <n v="43"/>
    <n v="140127"/>
    <n v="4"/>
    <n v="4"/>
    <n v="6"/>
    <n v="5"/>
    <n v="1"/>
    <n v="1"/>
    <n v="4"/>
    <n v="25"/>
    <x v="2"/>
    <m/>
  </r>
  <r>
    <x v="0"/>
    <s v="Travel_Frequently"/>
    <x v="1"/>
    <s v="Current Employees"/>
    <x v="0"/>
    <x v="1"/>
    <s v="STAFF-553"/>
    <n v="553"/>
    <x v="1"/>
    <x v="3"/>
    <x v="0"/>
    <s v="No"/>
    <n v="28"/>
    <n v="90974"/>
    <n v="4"/>
    <n v="1"/>
    <n v="34"/>
    <n v="9"/>
    <n v="3"/>
    <n v="2"/>
    <n v="3"/>
    <n v="11"/>
    <x v="0"/>
    <m/>
  </r>
  <r>
    <x v="0"/>
    <s v="Travel_Rarely"/>
    <x v="2"/>
    <s v="Current Employees"/>
    <x v="1"/>
    <x v="2"/>
    <s v="STAFF-554"/>
    <n v="554"/>
    <x v="1"/>
    <x v="9"/>
    <x v="2"/>
    <s v="Yes"/>
    <n v="34"/>
    <n v="24014"/>
    <n v="4"/>
    <n v="3"/>
    <n v="16"/>
    <n v="40"/>
    <n v="1"/>
    <n v="1"/>
    <n v="3"/>
    <n v="3"/>
    <x v="3"/>
    <m/>
  </r>
  <r>
    <x v="0"/>
    <s v="Travel_Frequently"/>
    <x v="1"/>
    <s v="Current Employees"/>
    <x v="5"/>
    <x v="5"/>
    <s v="STAFF-555"/>
    <n v="555"/>
    <x v="0"/>
    <x v="8"/>
    <x v="2"/>
    <s v="Yes"/>
    <n v="26"/>
    <n v="130337"/>
    <n v="3"/>
    <n v="3"/>
    <n v="10"/>
    <n v="12"/>
    <n v="2"/>
    <n v="4"/>
    <n v="4"/>
    <n v="16"/>
    <x v="0"/>
    <m/>
  </r>
  <r>
    <x v="0"/>
    <s v="Travel_Frequently"/>
    <x v="1"/>
    <s v="Current Employees"/>
    <x v="5"/>
    <x v="2"/>
    <s v="STAFF-556"/>
    <n v="556"/>
    <x v="1"/>
    <x v="5"/>
    <x v="0"/>
    <s v="Yes"/>
    <n v="25"/>
    <n v="169647"/>
    <n v="2"/>
    <n v="3"/>
    <n v="20"/>
    <n v="0"/>
    <n v="1"/>
    <n v="4"/>
    <n v="3"/>
    <n v="16"/>
    <x v="3"/>
    <m/>
  </r>
  <r>
    <x v="0"/>
    <s v="Travel_Frequently"/>
    <x v="3"/>
    <s v="Current Employees"/>
    <x v="1"/>
    <x v="1"/>
    <s v="STAFF-557"/>
    <n v="557"/>
    <x v="0"/>
    <x v="9"/>
    <x v="2"/>
    <s v="No"/>
    <n v="58"/>
    <n v="43544"/>
    <n v="1"/>
    <n v="2"/>
    <n v="12"/>
    <n v="26"/>
    <n v="5"/>
    <n v="2"/>
    <n v="4"/>
    <n v="7"/>
    <x v="3"/>
    <m/>
  </r>
  <r>
    <x v="0"/>
    <s v="Non-Travel"/>
    <x v="1"/>
    <s v="Current Employees"/>
    <x v="5"/>
    <x v="4"/>
    <s v="STAFF-558"/>
    <n v="558"/>
    <x v="1"/>
    <x v="1"/>
    <x v="2"/>
    <s v="No"/>
    <n v="40"/>
    <n v="149618"/>
    <n v="1"/>
    <n v="4"/>
    <n v="29"/>
    <n v="26"/>
    <n v="3"/>
    <n v="3"/>
    <n v="4"/>
    <n v="27"/>
    <x v="0"/>
    <m/>
  </r>
  <r>
    <x v="0"/>
    <s v="Travel_Rarely"/>
    <x v="3"/>
    <s v="Current Employees"/>
    <x v="0"/>
    <x v="0"/>
    <s v="STAFF-559"/>
    <n v="559"/>
    <x v="1"/>
    <x v="7"/>
    <x v="1"/>
    <s v="Yes"/>
    <n v="56"/>
    <n v="173947"/>
    <n v="2"/>
    <n v="4"/>
    <n v="24"/>
    <n v="18"/>
    <n v="6"/>
    <n v="4"/>
    <n v="4"/>
    <n v="23"/>
    <x v="0"/>
    <m/>
  </r>
  <r>
    <x v="1"/>
    <s v="Travel_Rarely"/>
    <x v="4"/>
    <s v="Ex-Employees"/>
    <x v="4"/>
    <x v="4"/>
    <s v="STAFF-560"/>
    <n v="560"/>
    <x v="0"/>
    <x v="5"/>
    <x v="0"/>
    <s v="No"/>
    <n v="27"/>
    <n v="148129"/>
    <n v="1"/>
    <n v="4"/>
    <n v="32"/>
    <n v="37"/>
    <n v="6"/>
    <n v="1"/>
    <n v="4"/>
    <n v="28"/>
    <x v="2"/>
    <m/>
  </r>
  <r>
    <x v="0"/>
    <s v="Travel_Frequently"/>
    <x v="4"/>
    <s v="Current Employees"/>
    <x v="2"/>
    <x v="4"/>
    <s v="STAFF-561"/>
    <n v="561"/>
    <x v="0"/>
    <x v="9"/>
    <x v="2"/>
    <s v="No"/>
    <n v="50"/>
    <n v="126248"/>
    <n v="4"/>
    <n v="1"/>
    <n v="23"/>
    <n v="14"/>
    <n v="4"/>
    <n v="3"/>
    <n v="4"/>
    <n v="29"/>
    <x v="3"/>
    <m/>
  </r>
  <r>
    <x v="0"/>
    <s v="Non-Travel"/>
    <x v="4"/>
    <s v="Current Employees"/>
    <x v="1"/>
    <x v="0"/>
    <s v="STAFF-562"/>
    <n v="562"/>
    <x v="0"/>
    <x v="7"/>
    <x v="2"/>
    <s v="Yes"/>
    <n v="22"/>
    <n v="58206"/>
    <n v="3"/>
    <n v="3"/>
    <n v="21"/>
    <n v="10"/>
    <n v="4"/>
    <n v="4"/>
    <n v="3"/>
    <n v="18"/>
    <x v="2"/>
    <m/>
  </r>
  <r>
    <x v="0"/>
    <s v="Non-Travel"/>
    <x v="2"/>
    <s v="Current Employees"/>
    <x v="4"/>
    <x v="5"/>
    <s v="STAFF-563"/>
    <n v="563"/>
    <x v="0"/>
    <x v="7"/>
    <x v="0"/>
    <s v="Yes"/>
    <n v="46"/>
    <n v="101394"/>
    <n v="2"/>
    <n v="4"/>
    <n v="14"/>
    <n v="6"/>
    <n v="5"/>
    <n v="2"/>
    <n v="3"/>
    <n v="21"/>
    <x v="0"/>
    <m/>
  </r>
  <r>
    <x v="0"/>
    <s v="Travel_Frequently"/>
    <x v="4"/>
    <s v="Current Employees"/>
    <x v="5"/>
    <x v="1"/>
    <s v="STAFF-564"/>
    <n v="564"/>
    <x v="0"/>
    <x v="1"/>
    <x v="2"/>
    <s v="Yes"/>
    <n v="26"/>
    <n v="24721"/>
    <n v="4"/>
    <n v="1"/>
    <n v="40"/>
    <n v="37"/>
    <n v="1"/>
    <n v="1"/>
    <n v="3"/>
    <n v="19"/>
    <x v="2"/>
    <m/>
  </r>
  <r>
    <x v="0"/>
    <s v="Non-Travel"/>
    <x v="2"/>
    <s v="Current Employees"/>
    <x v="1"/>
    <x v="3"/>
    <s v="STAFF-565"/>
    <n v="565"/>
    <x v="1"/>
    <x v="6"/>
    <x v="2"/>
    <s v="Yes"/>
    <n v="40"/>
    <n v="68811"/>
    <n v="2"/>
    <n v="4"/>
    <n v="16"/>
    <n v="42"/>
    <n v="0"/>
    <n v="3"/>
    <n v="3"/>
    <n v="30"/>
    <x v="4"/>
    <m/>
  </r>
  <r>
    <x v="0"/>
    <s v="Travel_Rarely"/>
    <x v="2"/>
    <s v="Current Employees"/>
    <x v="2"/>
    <x v="4"/>
    <s v="STAFF-566"/>
    <n v="566"/>
    <x v="1"/>
    <x v="2"/>
    <x v="2"/>
    <s v="Yes"/>
    <n v="30"/>
    <n v="92045"/>
    <n v="3"/>
    <n v="2"/>
    <n v="5"/>
    <n v="4"/>
    <n v="3"/>
    <n v="3"/>
    <n v="3"/>
    <n v="13"/>
    <x v="1"/>
    <m/>
  </r>
  <r>
    <x v="0"/>
    <s v="Travel_Frequently"/>
    <x v="0"/>
    <s v="Current Employees"/>
    <x v="4"/>
    <x v="3"/>
    <s v="STAFF-567"/>
    <n v="567"/>
    <x v="0"/>
    <x v="3"/>
    <x v="0"/>
    <s v="No"/>
    <n v="45"/>
    <n v="100204"/>
    <n v="4"/>
    <n v="2"/>
    <n v="11"/>
    <n v="19"/>
    <n v="0"/>
    <n v="2"/>
    <n v="3"/>
    <n v="4"/>
    <x v="3"/>
    <m/>
  </r>
  <r>
    <x v="1"/>
    <s v="Non-Travel"/>
    <x v="2"/>
    <s v="Ex-Employees"/>
    <x v="2"/>
    <x v="1"/>
    <s v="STAFF-568"/>
    <n v="568"/>
    <x v="0"/>
    <x v="6"/>
    <x v="0"/>
    <s v="No"/>
    <n v="28"/>
    <n v="68553"/>
    <n v="1"/>
    <n v="1"/>
    <n v="33"/>
    <n v="32"/>
    <n v="6"/>
    <n v="2"/>
    <n v="3"/>
    <n v="28"/>
    <x v="3"/>
    <m/>
  </r>
  <r>
    <x v="0"/>
    <s v="Travel_Rarely"/>
    <x v="1"/>
    <s v="Current Employees"/>
    <x v="0"/>
    <x v="0"/>
    <s v="STAFF-569"/>
    <n v="569"/>
    <x v="0"/>
    <x v="6"/>
    <x v="1"/>
    <s v="No"/>
    <n v="51"/>
    <n v="70228"/>
    <n v="1"/>
    <n v="3"/>
    <n v="35"/>
    <n v="41"/>
    <n v="2"/>
    <n v="4"/>
    <n v="4"/>
    <n v="14"/>
    <x v="0"/>
    <m/>
  </r>
  <r>
    <x v="1"/>
    <s v="Travel_Rarely"/>
    <x v="4"/>
    <s v="Ex-Employees"/>
    <x v="0"/>
    <x v="0"/>
    <s v="STAFF-570"/>
    <n v="570"/>
    <x v="1"/>
    <x v="7"/>
    <x v="2"/>
    <s v="No"/>
    <n v="31"/>
    <n v="71957"/>
    <n v="4"/>
    <n v="4"/>
    <n v="28"/>
    <n v="27"/>
    <n v="4"/>
    <n v="3"/>
    <n v="4"/>
    <n v="20"/>
    <x v="1"/>
    <m/>
  </r>
  <r>
    <x v="0"/>
    <s v="Travel_Frequently"/>
    <x v="1"/>
    <s v="Current Employees"/>
    <x v="2"/>
    <x v="2"/>
    <s v="STAFF-571"/>
    <n v="571"/>
    <x v="0"/>
    <x v="9"/>
    <x v="2"/>
    <s v="Yes"/>
    <n v="53"/>
    <n v="84339"/>
    <n v="4"/>
    <n v="3"/>
    <n v="38"/>
    <n v="41"/>
    <n v="4"/>
    <n v="3"/>
    <n v="4"/>
    <n v="1"/>
    <x v="1"/>
    <m/>
  </r>
  <r>
    <x v="0"/>
    <s v="Travel_Frequently"/>
    <x v="1"/>
    <s v="Current Employees"/>
    <x v="3"/>
    <x v="0"/>
    <s v="STAFF-572"/>
    <n v="572"/>
    <x v="0"/>
    <x v="3"/>
    <x v="0"/>
    <s v="No"/>
    <n v="44"/>
    <n v="56021"/>
    <n v="3"/>
    <n v="1"/>
    <n v="0"/>
    <n v="20"/>
    <n v="5"/>
    <n v="1"/>
    <n v="4"/>
    <n v="7"/>
    <x v="2"/>
    <m/>
  </r>
  <r>
    <x v="0"/>
    <s v="Non-Travel"/>
    <x v="1"/>
    <s v="Current Employees"/>
    <x v="3"/>
    <x v="4"/>
    <s v="STAFF-573"/>
    <n v="573"/>
    <x v="1"/>
    <x v="8"/>
    <x v="0"/>
    <s v="Yes"/>
    <n v="54"/>
    <n v="75006"/>
    <n v="1"/>
    <n v="3"/>
    <n v="38"/>
    <n v="42"/>
    <n v="0"/>
    <n v="4"/>
    <n v="4"/>
    <n v="11"/>
    <x v="3"/>
    <m/>
  </r>
  <r>
    <x v="0"/>
    <s v="Travel_Frequently"/>
    <x v="0"/>
    <s v="Current Employees"/>
    <x v="1"/>
    <x v="4"/>
    <s v="STAFF-574"/>
    <n v="574"/>
    <x v="1"/>
    <x v="7"/>
    <x v="2"/>
    <s v="Yes"/>
    <n v="49"/>
    <n v="62863"/>
    <n v="3"/>
    <n v="4"/>
    <n v="15"/>
    <n v="36"/>
    <n v="0"/>
    <n v="3"/>
    <n v="3"/>
    <n v="21"/>
    <x v="0"/>
    <m/>
  </r>
  <r>
    <x v="1"/>
    <s v="Travel_Rarely"/>
    <x v="4"/>
    <s v="Ex-Employees"/>
    <x v="0"/>
    <x v="5"/>
    <s v="STAFF-575"/>
    <n v="575"/>
    <x v="0"/>
    <x v="4"/>
    <x v="0"/>
    <s v="Yes"/>
    <n v="42"/>
    <n v="22265"/>
    <n v="1"/>
    <n v="4"/>
    <n v="6"/>
    <n v="26"/>
    <n v="5"/>
    <n v="3"/>
    <n v="4"/>
    <n v="11"/>
    <x v="3"/>
    <m/>
  </r>
  <r>
    <x v="0"/>
    <s v="Travel_Frequently"/>
    <x v="2"/>
    <s v="Current Employees"/>
    <x v="0"/>
    <x v="1"/>
    <s v="STAFF-576"/>
    <n v="576"/>
    <x v="0"/>
    <x v="7"/>
    <x v="1"/>
    <s v="No"/>
    <n v="52"/>
    <n v="49827"/>
    <n v="3"/>
    <n v="1"/>
    <n v="1"/>
    <n v="14"/>
    <n v="0"/>
    <n v="1"/>
    <n v="3"/>
    <n v="4"/>
    <x v="3"/>
    <m/>
  </r>
  <r>
    <x v="1"/>
    <s v="Travel_Rarely"/>
    <x v="2"/>
    <s v="Ex-Employees"/>
    <x v="3"/>
    <x v="4"/>
    <s v="STAFF-577"/>
    <n v="577"/>
    <x v="0"/>
    <x v="1"/>
    <x v="0"/>
    <s v="Yes"/>
    <n v="24"/>
    <n v="86075"/>
    <n v="1"/>
    <n v="1"/>
    <n v="3"/>
    <n v="19"/>
    <n v="0"/>
    <n v="3"/>
    <n v="4"/>
    <n v="23"/>
    <x v="0"/>
    <m/>
  </r>
  <r>
    <x v="0"/>
    <s v="Travel_Rarely"/>
    <x v="1"/>
    <s v="Current Employees"/>
    <x v="5"/>
    <x v="0"/>
    <s v="STAFF-578"/>
    <n v="578"/>
    <x v="1"/>
    <x v="0"/>
    <x v="2"/>
    <s v="No"/>
    <n v="30"/>
    <n v="171126"/>
    <n v="4"/>
    <n v="4"/>
    <n v="7"/>
    <n v="33"/>
    <n v="4"/>
    <n v="2"/>
    <n v="4"/>
    <n v="22"/>
    <x v="2"/>
    <m/>
  </r>
  <r>
    <x v="1"/>
    <s v="Travel_Frequently"/>
    <x v="1"/>
    <s v="Ex-Employees"/>
    <x v="5"/>
    <x v="0"/>
    <s v="STAFF-579"/>
    <n v="579"/>
    <x v="0"/>
    <x v="8"/>
    <x v="1"/>
    <s v="Yes"/>
    <n v="43"/>
    <n v="164411"/>
    <n v="2"/>
    <n v="2"/>
    <n v="4"/>
    <n v="4"/>
    <n v="3"/>
    <n v="1"/>
    <n v="3"/>
    <n v="1"/>
    <x v="4"/>
    <m/>
  </r>
  <r>
    <x v="0"/>
    <s v="Travel_Rarely"/>
    <x v="1"/>
    <s v="Current Employees"/>
    <x v="1"/>
    <x v="2"/>
    <s v="STAFF-580"/>
    <n v="580"/>
    <x v="0"/>
    <x v="2"/>
    <x v="0"/>
    <s v="No"/>
    <n v="40"/>
    <n v="137019"/>
    <n v="2"/>
    <n v="1"/>
    <n v="8"/>
    <n v="14"/>
    <n v="2"/>
    <n v="4"/>
    <n v="4"/>
    <n v="28"/>
    <x v="0"/>
    <m/>
  </r>
  <r>
    <x v="0"/>
    <s v="Travel_Rarely"/>
    <x v="4"/>
    <s v="Current Employees"/>
    <x v="3"/>
    <x v="2"/>
    <s v="STAFF-581"/>
    <n v="581"/>
    <x v="1"/>
    <x v="6"/>
    <x v="0"/>
    <s v="No"/>
    <n v="57"/>
    <n v="44755"/>
    <n v="2"/>
    <n v="4"/>
    <n v="6"/>
    <n v="7"/>
    <n v="1"/>
    <n v="1"/>
    <n v="4"/>
    <n v="6"/>
    <x v="3"/>
    <m/>
  </r>
  <r>
    <x v="0"/>
    <s v="Travel_Frequently"/>
    <x v="2"/>
    <s v="Current Employees"/>
    <x v="1"/>
    <x v="2"/>
    <s v="STAFF-582"/>
    <n v="582"/>
    <x v="0"/>
    <x v="4"/>
    <x v="2"/>
    <s v="No"/>
    <n v="48"/>
    <n v="73591"/>
    <n v="2"/>
    <n v="4"/>
    <n v="32"/>
    <n v="27"/>
    <n v="4"/>
    <n v="3"/>
    <n v="3"/>
    <n v="15"/>
    <x v="3"/>
    <m/>
  </r>
  <r>
    <x v="0"/>
    <s v="Non-Travel"/>
    <x v="0"/>
    <s v="Current Employees"/>
    <x v="1"/>
    <x v="5"/>
    <s v="STAFF-583"/>
    <n v="583"/>
    <x v="0"/>
    <x v="8"/>
    <x v="2"/>
    <s v="No"/>
    <n v="32"/>
    <n v="173726"/>
    <n v="3"/>
    <n v="4"/>
    <n v="33"/>
    <n v="27"/>
    <n v="0"/>
    <n v="1"/>
    <n v="3"/>
    <n v="4"/>
    <x v="4"/>
    <m/>
  </r>
  <r>
    <x v="0"/>
    <s v="Travel_Frequently"/>
    <x v="4"/>
    <s v="Current Employees"/>
    <x v="2"/>
    <x v="0"/>
    <s v="STAFF-584"/>
    <n v="584"/>
    <x v="0"/>
    <x v="4"/>
    <x v="2"/>
    <s v="No"/>
    <n v="35"/>
    <n v="124052"/>
    <n v="4"/>
    <n v="4"/>
    <n v="6"/>
    <n v="14"/>
    <n v="5"/>
    <n v="3"/>
    <n v="4"/>
    <n v="7"/>
    <x v="4"/>
    <m/>
  </r>
  <r>
    <x v="0"/>
    <s v="Non-Travel"/>
    <x v="1"/>
    <s v="Current Employees"/>
    <x v="0"/>
    <x v="1"/>
    <s v="STAFF-585"/>
    <n v="585"/>
    <x v="1"/>
    <x v="5"/>
    <x v="2"/>
    <s v="Yes"/>
    <n v="53"/>
    <n v="142979"/>
    <n v="3"/>
    <n v="2"/>
    <n v="10"/>
    <n v="20"/>
    <n v="5"/>
    <n v="1"/>
    <n v="3"/>
    <n v="6"/>
    <x v="3"/>
    <m/>
  </r>
  <r>
    <x v="1"/>
    <s v="Non-Travel"/>
    <x v="1"/>
    <s v="Ex-Employees"/>
    <x v="4"/>
    <x v="5"/>
    <s v="STAFF-586"/>
    <n v="586"/>
    <x v="1"/>
    <x v="1"/>
    <x v="2"/>
    <s v="Yes"/>
    <n v="37"/>
    <n v="38179"/>
    <n v="2"/>
    <n v="1"/>
    <n v="38"/>
    <n v="22"/>
    <n v="3"/>
    <n v="1"/>
    <n v="4"/>
    <n v="28"/>
    <x v="4"/>
    <m/>
  </r>
  <r>
    <x v="0"/>
    <s v="Non-Travel"/>
    <x v="0"/>
    <s v="Current Employees"/>
    <x v="4"/>
    <x v="3"/>
    <s v="STAFF-587"/>
    <n v="587"/>
    <x v="1"/>
    <x v="3"/>
    <x v="0"/>
    <s v="Yes"/>
    <n v="30"/>
    <n v="42617"/>
    <n v="1"/>
    <n v="3"/>
    <n v="21"/>
    <n v="28"/>
    <n v="3"/>
    <n v="3"/>
    <n v="4"/>
    <n v="22"/>
    <x v="2"/>
    <m/>
  </r>
  <r>
    <x v="0"/>
    <s v="Travel_Frequently"/>
    <x v="2"/>
    <s v="Current Employees"/>
    <x v="0"/>
    <x v="3"/>
    <s v="STAFF-588"/>
    <n v="588"/>
    <x v="1"/>
    <x v="4"/>
    <x v="0"/>
    <s v="No"/>
    <n v="28"/>
    <n v="88762"/>
    <n v="1"/>
    <n v="2"/>
    <n v="26"/>
    <n v="14"/>
    <n v="5"/>
    <n v="2"/>
    <n v="4"/>
    <n v="16"/>
    <x v="1"/>
    <m/>
  </r>
  <r>
    <x v="0"/>
    <s v="Travel_Frequently"/>
    <x v="2"/>
    <s v="Current Employees"/>
    <x v="1"/>
    <x v="0"/>
    <s v="STAFF-589"/>
    <n v="589"/>
    <x v="0"/>
    <x v="3"/>
    <x v="1"/>
    <s v="Yes"/>
    <n v="38"/>
    <n v="160846"/>
    <n v="4"/>
    <n v="2"/>
    <n v="16"/>
    <n v="22"/>
    <n v="2"/>
    <n v="4"/>
    <n v="4"/>
    <n v="9"/>
    <x v="3"/>
    <m/>
  </r>
  <r>
    <x v="0"/>
    <s v="Travel_Frequently"/>
    <x v="2"/>
    <s v="Current Employees"/>
    <x v="5"/>
    <x v="1"/>
    <s v="STAFF-590"/>
    <n v="590"/>
    <x v="0"/>
    <x v="7"/>
    <x v="1"/>
    <s v="No"/>
    <n v="39"/>
    <n v="46885"/>
    <n v="1"/>
    <n v="4"/>
    <n v="9"/>
    <n v="29"/>
    <n v="5"/>
    <n v="2"/>
    <n v="4"/>
    <n v="20"/>
    <x v="0"/>
    <m/>
  </r>
  <r>
    <x v="0"/>
    <s v="Travel_Rarely"/>
    <x v="1"/>
    <s v="Current Employees"/>
    <x v="0"/>
    <x v="2"/>
    <s v="STAFF-591"/>
    <n v="591"/>
    <x v="0"/>
    <x v="9"/>
    <x v="2"/>
    <s v="Yes"/>
    <n v="39"/>
    <n v="173470"/>
    <n v="1"/>
    <n v="1"/>
    <n v="31"/>
    <n v="19"/>
    <n v="0"/>
    <n v="4"/>
    <n v="4"/>
    <n v="22"/>
    <x v="1"/>
    <m/>
  </r>
  <r>
    <x v="0"/>
    <s v="Non-Travel"/>
    <x v="1"/>
    <s v="Current Employees"/>
    <x v="0"/>
    <x v="3"/>
    <s v="STAFF-592"/>
    <n v="592"/>
    <x v="0"/>
    <x v="0"/>
    <x v="0"/>
    <s v="No"/>
    <n v="30"/>
    <n v="69570"/>
    <n v="4"/>
    <n v="1"/>
    <n v="18"/>
    <n v="14"/>
    <n v="0"/>
    <n v="4"/>
    <n v="4"/>
    <n v="8"/>
    <x v="2"/>
    <m/>
  </r>
  <r>
    <x v="0"/>
    <s v="Travel_Frequently"/>
    <x v="3"/>
    <s v="Current Employees"/>
    <x v="4"/>
    <x v="2"/>
    <s v="STAFF-593"/>
    <n v="593"/>
    <x v="1"/>
    <x v="6"/>
    <x v="0"/>
    <s v="No"/>
    <n v="41"/>
    <n v="169563"/>
    <n v="2"/>
    <n v="2"/>
    <n v="16"/>
    <n v="8"/>
    <n v="3"/>
    <n v="2"/>
    <n v="4"/>
    <n v="10"/>
    <x v="1"/>
    <m/>
  </r>
  <r>
    <x v="0"/>
    <s v="Non-Travel"/>
    <x v="4"/>
    <s v="Current Employees"/>
    <x v="1"/>
    <x v="0"/>
    <s v="STAFF-594"/>
    <n v="594"/>
    <x v="1"/>
    <x v="7"/>
    <x v="2"/>
    <s v="Yes"/>
    <n v="54"/>
    <n v="133841"/>
    <n v="3"/>
    <n v="3"/>
    <n v="29"/>
    <n v="22"/>
    <n v="3"/>
    <n v="4"/>
    <n v="4"/>
    <n v="14"/>
    <x v="2"/>
    <m/>
  </r>
  <r>
    <x v="0"/>
    <s v="Travel_Rarely"/>
    <x v="2"/>
    <s v="Current Employees"/>
    <x v="1"/>
    <x v="0"/>
    <s v="STAFF-595"/>
    <n v="595"/>
    <x v="1"/>
    <x v="3"/>
    <x v="0"/>
    <s v="No"/>
    <n v="29"/>
    <n v="160414"/>
    <n v="3"/>
    <n v="1"/>
    <n v="25"/>
    <n v="8"/>
    <n v="3"/>
    <n v="1"/>
    <n v="4"/>
    <n v="26"/>
    <x v="0"/>
    <m/>
  </r>
  <r>
    <x v="0"/>
    <s v="Travel_Frequently"/>
    <x v="0"/>
    <s v="Current Employees"/>
    <x v="4"/>
    <x v="3"/>
    <s v="STAFF-596"/>
    <n v="596"/>
    <x v="0"/>
    <x v="1"/>
    <x v="0"/>
    <s v="Yes"/>
    <n v="39"/>
    <n v="166227"/>
    <n v="4"/>
    <n v="3"/>
    <n v="3"/>
    <n v="7"/>
    <n v="5"/>
    <n v="1"/>
    <n v="3"/>
    <n v="17"/>
    <x v="4"/>
    <m/>
  </r>
  <r>
    <x v="0"/>
    <s v="Travel_Rarely"/>
    <x v="3"/>
    <s v="Current Employees"/>
    <x v="3"/>
    <x v="3"/>
    <s v="STAFF-597"/>
    <n v="597"/>
    <x v="0"/>
    <x v="8"/>
    <x v="0"/>
    <s v="No"/>
    <n v="21"/>
    <n v="145128"/>
    <n v="2"/>
    <n v="1"/>
    <n v="4"/>
    <n v="0"/>
    <n v="1"/>
    <n v="1"/>
    <n v="3"/>
    <n v="8"/>
    <x v="4"/>
    <m/>
  </r>
  <r>
    <x v="0"/>
    <s v="Travel_Frequently"/>
    <x v="0"/>
    <s v="Current Employees"/>
    <x v="2"/>
    <x v="5"/>
    <s v="STAFF-598"/>
    <n v="598"/>
    <x v="0"/>
    <x v="0"/>
    <x v="1"/>
    <s v="No"/>
    <n v="51"/>
    <n v="66246"/>
    <n v="2"/>
    <n v="3"/>
    <n v="39"/>
    <n v="28"/>
    <n v="6"/>
    <n v="1"/>
    <n v="4"/>
    <n v="5"/>
    <x v="1"/>
    <m/>
  </r>
  <r>
    <x v="0"/>
    <s v="Travel_Rarely"/>
    <x v="4"/>
    <s v="Current Employees"/>
    <x v="5"/>
    <x v="0"/>
    <s v="STAFF-599"/>
    <n v="599"/>
    <x v="0"/>
    <x v="9"/>
    <x v="1"/>
    <s v="No"/>
    <n v="39"/>
    <n v="44219"/>
    <n v="4"/>
    <n v="3"/>
    <n v="17"/>
    <n v="25"/>
    <n v="3"/>
    <n v="1"/>
    <n v="4"/>
    <n v="14"/>
    <x v="2"/>
    <m/>
  </r>
  <r>
    <x v="0"/>
    <s v="Non-Travel"/>
    <x v="1"/>
    <s v="Current Employees"/>
    <x v="4"/>
    <x v="5"/>
    <s v="STAFF-600"/>
    <n v="600"/>
    <x v="0"/>
    <x v="2"/>
    <x v="1"/>
    <s v="Yes"/>
    <n v="60"/>
    <n v="134517"/>
    <n v="1"/>
    <n v="3"/>
    <n v="8"/>
    <n v="29"/>
    <n v="5"/>
    <n v="4"/>
    <n v="4"/>
    <n v="1"/>
    <x v="4"/>
    <m/>
  </r>
  <r>
    <x v="0"/>
    <s v="Travel_Rarely"/>
    <x v="4"/>
    <s v="Current Employees"/>
    <x v="2"/>
    <x v="2"/>
    <s v="STAFF-601"/>
    <n v="601"/>
    <x v="1"/>
    <x v="4"/>
    <x v="2"/>
    <s v="Yes"/>
    <n v="30"/>
    <n v="110239"/>
    <n v="3"/>
    <n v="4"/>
    <n v="8"/>
    <n v="17"/>
    <n v="6"/>
    <n v="3"/>
    <n v="4"/>
    <n v="3"/>
    <x v="2"/>
    <m/>
  </r>
  <r>
    <x v="0"/>
    <s v="Travel_Rarely"/>
    <x v="2"/>
    <s v="Current Employees"/>
    <x v="5"/>
    <x v="1"/>
    <s v="STAFF-602"/>
    <n v="602"/>
    <x v="1"/>
    <x v="6"/>
    <x v="0"/>
    <s v="No"/>
    <n v="58"/>
    <n v="170233"/>
    <n v="3"/>
    <n v="4"/>
    <n v="4"/>
    <n v="2"/>
    <n v="0"/>
    <n v="2"/>
    <n v="3"/>
    <n v="4"/>
    <x v="1"/>
    <m/>
  </r>
  <r>
    <x v="0"/>
    <s v="Travel_Rarely"/>
    <x v="2"/>
    <s v="Current Employees"/>
    <x v="0"/>
    <x v="3"/>
    <s v="STAFF-603"/>
    <n v="603"/>
    <x v="0"/>
    <x v="0"/>
    <x v="2"/>
    <s v="No"/>
    <n v="47"/>
    <n v="34874"/>
    <n v="1"/>
    <n v="3"/>
    <n v="7"/>
    <n v="2"/>
    <n v="6"/>
    <n v="1"/>
    <n v="4"/>
    <n v="25"/>
    <x v="3"/>
    <m/>
  </r>
  <r>
    <x v="0"/>
    <s v="Travel_Frequently"/>
    <x v="4"/>
    <s v="Current Employees"/>
    <x v="3"/>
    <x v="4"/>
    <s v="STAFF-604"/>
    <n v="604"/>
    <x v="1"/>
    <x v="7"/>
    <x v="2"/>
    <s v="Yes"/>
    <n v="33"/>
    <n v="84190"/>
    <n v="4"/>
    <n v="4"/>
    <n v="18"/>
    <n v="14"/>
    <n v="1"/>
    <n v="2"/>
    <n v="4"/>
    <n v="27"/>
    <x v="0"/>
    <m/>
  </r>
  <r>
    <x v="0"/>
    <s v="Travel_Rarely"/>
    <x v="1"/>
    <s v="Current Employees"/>
    <x v="2"/>
    <x v="3"/>
    <s v="STAFF-605"/>
    <n v="605"/>
    <x v="0"/>
    <x v="3"/>
    <x v="2"/>
    <s v="Yes"/>
    <n v="21"/>
    <n v="112256"/>
    <n v="4"/>
    <n v="1"/>
    <n v="21"/>
    <n v="11"/>
    <n v="5"/>
    <n v="4"/>
    <n v="3"/>
    <n v="27"/>
    <x v="4"/>
    <m/>
  </r>
  <r>
    <x v="0"/>
    <s v="Travel_Frequently"/>
    <x v="2"/>
    <s v="Current Employees"/>
    <x v="0"/>
    <x v="1"/>
    <s v="STAFF-606"/>
    <n v="606"/>
    <x v="0"/>
    <x v="0"/>
    <x v="1"/>
    <s v="No"/>
    <n v="45"/>
    <n v="36577"/>
    <n v="1"/>
    <n v="2"/>
    <n v="33"/>
    <n v="19"/>
    <n v="0"/>
    <n v="1"/>
    <n v="4"/>
    <n v="8"/>
    <x v="1"/>
    <m/>
  </r>
  <r>
    <x v="0"/>
    <s v="Travel_Frequently"/>
    <x v="1"/>
    <s v="Current Employees"/>
    <x v="3"/>
    <x v="2"/>
    <s v="STAFF-607"/>
    <n v="607"/>
    <x v="1"/>
    <x v="1"/>
    <x v="2"/>
    <s v="Yes"/>
    <n v="39"/>
    <n v="37602"/>
    <n v="2"/>
    <n v="3"/>
    <n v="25"/>
    <n v="39"/>
    <n v="0"/>
    <n v="1"/>
    <n v="4"/>
    <n v="30"/>
    <x v="3"/>
    <m/>
  </r>
  <r>
    <x v="0"/>
    <s v="Travel_Frequently"/>
    <x v="0"/>
    <s v="Current Employees"/>
    <x v="1"/>
    <x v="0"/>
    <s v="STAFF-608"/>
    <n v="608"/>
    <x v="1"/>
    <x v="5"/>
    <x v="2"/>
    <s v="Yes"/>
    <n v="56"/>
    <n v="104405"/>
    <n v="1"/>
    <n v="2"/>
    <n v="31"/>
    <n v="4"/>
    <n v="6"/>
    <n v="1"/>
    <n v="4"/>
    <n v="3"/>
    <x v="2"/>
    <m/>
  </r>
  <r>
    <x v="0"/>
    <s v="Non-Travel"/>
    <x v="2"/>
    <s v="Current Employees"/>
    <x v="4"/>
    <x v="5"/>
    <s v="STAFF-609"/>
    <n v="609"/>
    <x v="0"/>
    <x v="8"/>
    <x v="0"/>
    <s v="Yes"/>
    <n v="27"/>
    <n v="27332"/>
    <n v="4"/>
    <n v="2"/>
    <n v="22"/>
    <n v="27"/>
    <n v="3"/>
    <n v="3"/>
    <n v="3"/>
    <n v="1"/>
    <x v="1"/>
    <m/>
  </r>
  <r>
    <x v="0"/>
    <s v="Non-Travel"/>
    <x v="4"/>
    <s v="Current Employees"/>
    <x v="3"/>
    <x v="1"/>
    <s v="STAFF-610"/>
    <n v="610"/>
    <x v="1"/>
    <x v="5"/>
    <x v="0"/>
    <s v="No"/>
    <n v="24"/>
    <n v="119482"/>
    <n v="4"/>
    <n v="2"/>
    <n v="27"/>
    <n v="27"/>
    <n v="4"/>
    <n v="2"/>
    <n v="3"/>
    <n v="15"/>
    <x v="1"/>
    <m/>
  </r>
  <r>
    <x v="1"/>
    <s v="Travel_Frequently"/>
    <x v="3"/>
    <s v="Ex-Employees"/>
    <x v="0"/>
    <x v="0"/>
    <s v="STAFF-611"/>
    <n v="611"/>
    <x v="1"/>
    <x v="7"/>
    <x v="2"/>
    <s v="Yes"/>
    <n v="35"/>
    <n v="42114"/>
    <n v="1"/>
    <n v="2"/>
    <n v="26"/>
    <n v="34"/>
    <n v="4"/>
    <n v="1"/>
    <n v="3"/>
    <n v="28"/>
    <x v="4"/>
    <m/>
  </r>
  <r>
    <x v="0"/>
    <s v="Travel_Frequently"/>
    <x v="0"/>
    <s v="Current Employees"/>
    <x v="3"/>
    <x v="0"/>
    <s v="STAFF-612"/>
    <n v="612"/>
    <x v="1"/>
    <x v="5"/>
    <x v="1"/>
    <s v="No"/>
    <n v="59"/>
    <n v="82027"/>
    <n v="3"/>
    <n v="2"/>
    <n v="38"/>
    <n v="25"/>
    <n v="3"/>
    <n v="1"/>
    <n v="3"/>
    <n v="3"/>
    <x v="3"/>
    <m/>
  </r>
  <r>
    <x v="1"/>
    <s v="Non-Travel"/>
    <x v="1"/>
    <s v="Ex-Employees"/>
    <x v="5"/>
    <x v="2"/>
    <s v="STAFF-613"/>
    <n v="613"/>
    <x v="0"/>
    <x v="9"/>
    <x v="0"/>
    <s v="No"/>
    <n v="44"/>
    <n v="162547"/>
    <n v="3"/>
    <n v="2"/>
    <n v="33"/>
    <n v="17"/>
    <n v="2"/>
    <n v="1"/>
    <n v="3"/>
    <n v="12"/>
    <x v="2"/>
    <m/>
  </r>
  <r>
    <x v="0"/>
    <s v="Travel_Rarely"/>
    <x v="2"/>
    <s v="Current Employees"/>
    <x v="0"/>
    <x v="0"/>
    <s v="STAFF-614"/>
    <n v="614"/>
    <x v="0"/>
    <x v="4"/>
    <x v="2"/>
    <s v="No"/>
    <n v="56"/>
    <n v="73251"/>
    <n v="1"/>
    <n v="3"/>
    <n v="9"/>
    <n v="2"/>
    <n v="1"/>
    <n v="4"/>
    <n v="4"/>
    <n v="4"/>
    <x v="1"/>
    <m/>
  </r>
  <r>
    <x v="0"/>
    <s v="Non-Travel"/>
    <x v="0"/>
    <s v="Current Employees"/>
    <x v="0"/>
    <x v="5"/>
    <s v="STAFF-615"/>
    <n v="615"/>
    <x v="1"/>
    <x v="0"/>
    <x v="2"/>
    <s v="No"/>
    <n v="60"/>
    <n v="118646"/>
    <n v="4"/>
    <n v="1"/>
    <n v="24"/>
    <n v="24"/>
    <n v="3"/>
    <n v="1"/>
    <n v="3"/>
    <n v="7"/>
    <x v="2"/>
    <m/>
  </r>
  <r>
    <x v="0"/>
    <s v="Non-Travel"/>
    <x v="1"/>
    <s v="Current Employees"/>
    <x v="4"/>
    <x v="2"/>
    <s v="STAFF-616"/>
    <n v="616"/>
    <x v="0"/>
    <x v="4"/>
    <x v="1"/>
    <s v="Yes"/>
    <n v="59"/>
    <n v="106137"/>
    <n v="3"/>
    <n v="2"/>
    <n v="1"/>
    <n v="21"/>
    <n v="5"/>
    <n v="4"/>
    <n v="4"/>
    <n v="26"/>
    <x v="1"/>
    <m/>
  </r>
  <r>
    <x v="0"/>
    <s v="Non-Travel"/>
    <x v="2"/>
    <s v="Current Employees"/>
    <x v="5"/>
    <x v="2"/>
    <s v="STAFF-617"/>
    <n v="617"/>
    <x v="1"/>
    <x v="7"/>
    <x v="0"/>
    <s v="No"/>
    <n v="31"/>
    <n v="117953"/>
    <n v="4"/>
    <n v="2"/>
    <n v="8"/>
    <n v="0"/>
    <n v="2"/>
    <n v="3"/>
    <n v="3"/>
    <n v="8"/>
    <x v="0"/>
    <m/>
  </r>
  <r>
    <x v="0"/>
    <s v="Non-Travel"/>
    <x v="2"/>
    <s v="Current Employees"/>
    <x v="4"/>
    <x v="2"/>
    <s v="STAFF-618"/>
    <n v="618"/>
    <x v="1"/>
    <x v="8"/>
    <x v="0"/>
    <s v="No"/>
    <n v="59"/>
    <n v="21234"/>
    <n v="1"/>
    <n v="3"/>
    <n v="36"/>
    <n v="42"/>
    <n v="2"/>
    <n v="3"/>
    <n v="3"/>
    <n v="15"/>
    <x v="2"/>
    <m/>
  </r>
  <r>
    <x v="0"/>
    <s v="Travel_Frequently"/>
    <x v="0"/>
    <s v="Current Employees"/>
    <x v="4"/>
    <x v="5"/>
    <s v="STAFF-619"/>
    <n v="619"/>
    <x v="0"/>
    <x v="7"/>
    <x v="2"/>
    <s v="Yes"/>
    <n v="38"/>
    <n v="177993"/>
    <n v="3"/>
    <n v="1"/>
    <n v="28"/>
    <n v="11"/>
    <n v="2"/>
    <n v="3"/>
    <n v="4"/>
    <n v="28"/>
    <x v="2"/>
    <m/>
  </r>
  <r>
    <x v="0"/>
    <s v="Non-Travel"/>
    <x v="2"/>
    <s v="Current Employees"/>
    <x v="3"/>
    <x v="3"/>
    <s v="STAFF-620"/>
    <n v="620"/>
    <x v="0"/>
    <x v="3"/>
    <x v="2"/>
    <s v="Yes"/>
    <n v="32"/>
    <n v="150833"/>
    <n v="4"/>
    <n v="3"/>
    <n v="2"/>
    <n v="35"/>
    <n v="5"/>
    <n v="2"/>
    <n v="3"/>
    <n v="23"/>
    <x v="3"/>
    <m/>
  </r>
  <r>
    <x v="1"/>
    <s v="Non-Travel"/>
    <x v="0"/>
    <s v="Ex-Employees"/>
    <x v="0"/>
    <x v="3"/>
    <s v="STAFF-621"/>
    <n v="621"/>
    <x v="0"/>
    <x v="2"/>
    <x v="2"/>
    <s v="No"/>
    <n v="27"/>
    <n v="38310"/>
    <n v="4"/>
    <n v="1"/>
    <n v="32"/>
    <n v="4"/>
    <n v="1"/>
    <n v="2"/>
    <n v="4"/>
    <n v="19"/>
    <x v="3"/>
    <m/>
  </r>
  <r>
    <x v="0"/>
    <s v="Non-Travel"/>
    <x v="2"/>
    <s v="Current Employees"/>
    <x v="4"/>
    <x v="5"/>
    <s v="STAFF-622"/>
    <n v="622"/>
    <x v="1"/>
    <x v="6"/>
    <x v="2"/>
    <s v="No"/>
    <n v="59"/>
    <n v="112447"/>
    <n v="3"/>
    <n v="4"/>
    <n v="23"/>
    <n v="30"/>
    <n v="2"/>
    <n v="1"/>
    <n v="3"/>
    <n v="12"/>
    <x v="1"/>
    <m/>
  </r>
  <r>
    <x v="0"/>
    <s v="Travel_Rarely"/>
    <x v="1"/>
    <s v="Current Employees"/>
    <x v="2"/>
    <x v="4"/>
    <s v="STAFF-623"/>
    <n v="623"/>
    <x v="0"/>
    <x v="1"/>
    <x v="0"/>
    <s v="No"/>
    <n v="34"/>
    <n v="117310"/>
    <n v="1"/>
    <n v="2"/>
    <n v="24"/>
    <n v="41"/>
    <n v="0"/>
    <n v="1"/>
    <n v="3"/>
    <n v="19"/>
    <x v="0"/>
    <m/>
  </r>
  <r>
    <x v="1"/>
    <s v="Travel_Frequently"/>
    <x v="2"/>
    <s v="Ex-Employees"/>
    <x v="5"/>
    <x v="1"/>
    <s v="STAFF-624"/>
    <n v="624"/>
    <x v="0"/>
    <x v="4"/>
    <x v="2"/>
    <s v="No"/>
    <n v="54"/>
    <n v="154402"/>
    <n v="4"/>
    <n v="3"/>
    <n v="17"/>
    <n v="12"/>
    <n v="6"/>
    <n v="3"/>
    <n v="3"/>
    <n v="11"/>
    <x v="4"/>
    <m/>
  </r>
  <r>
    <x v="0"/>
    <s v="Travel_Frequently"/>
    <x v="3"/>
    <s v="Current Employees"/>
    <x v="3"/>
    <x v="2"/>
    <s v="STAFF-625"/>
    <n v="625"/>
    <x v="0"/>
    <x v="3"/>
    <x v="1"/>
    <s v="No"/>
    <n v="44"/>
    <n v="38890"/>
    <n v="3"/>
    <n v="1"/>
    <n v="23"/>
    <n v="41"/>
    <n v="3"/>
    <n v="2"/>
    <n v="4"/>
    <n v="26"/>
    <x v="2"/>
    <m/>
  </r>
  <r>
    <x v="0"/>
    <s v="Non-Travel"/>
    <x v="4"/>
    <s v="Current Employees"/>
    <x v="3"/>
    <x v="0"/>
    <s v="STAFF-626"/>
    <n v="626"/>
    <x v="1"/>
    <x v="2"/>
    <x v="0"/>
    <s v="Yes"/>
    <n v="59"/>
    <n v="86230"/>
    <n v="3"/>
    <n v="3"/>
    <n v="20"/>
    <n v="7"/>
    <n v="0"/>
    <n v="4"/>
    <n v="4"/>
    <n v="17"/>
    <x v="4"/>
    <m/>
  </r>
  <r>
    <x v="0"/>
    <s v="Travel_Rarely"/>
    <x v="2"/>
    <s v="Current Employees"/>
    <x v="3"/>
    <x v="5"/>
    <s v="STAFF-627"/>
    <n v="627"/>
    <x v="0"/>
    <x v="6"/>
    <x v="2"/>
    <s v="No"/>
    <n v="37"/>
    <n v="163379"/>
    <n v="4"/>
    <n v="1"/>
    <n v="8"/>
    <n v="2"/>
    <n v="6"/>
    <n v="4"/>
    <n v="3"/>
    <n v="23"/>
    <x v="4"/>
    <m/>
  </r>
  <r>
    <x v="1"/>
    <s v="Travel_Frequently"/>
    <x v="1"/>
    <s v="Ex-Employees"/>
    <x v="2"/>
    <x v="5"/>
    <s v="STAFF-628"/>
    <n v="628"/>
    <x v="1"/>
    <x v="6"/>
    <x v="1"/>
    <s v="Yes"/>
    <n v="39"/>
    <n v="49202"/>
    <n v="3"/>
    <n v="3"/>
    <n v="37"/>
    <n v="38"/>
    <n v="4"/>
    <n v="1"/>
    <n v="3"/>
    <n v="3"/>
    <x v="3"/>
    <m/>
  </r>
  <r>
    <x v="1"/>
    <s v="Travel_Frequently"/>
    <x v="4"/>
    <s v="Ex-Employees"/>
    <x v="5"/>
    <x v="3"/>
    <s v="STAFF-629"/>
    <n v="629"/>
    <x v="1"/>
    <x v="8"/>
    <x v="1"/>
    <s v="Yes"/>
    <n v="32"/>
    <n v="172549"/>
    <n v="1"/>
    <n v="2"/>
    <n v="0"/>
    <n v="37"/>
    <n v="4"/>
    <n v="3"/>
    <n v="4"/>
    <n v="13"/>
    <x v="3"/>
    <m/>
  </r>
  <r>
    <x v="0"/>
    <s v="Travel_Frequently"/>
    <x v="2"/>
    <s v="Current Employees"/>
    <x v="2"/>
    <x v="4"/>
    <s v="STAFF-630"/>
    <n v="630"/>
    <x v="0"/>
    <x v="8"/>
    <x v="1"/>
    <s v="No"/>
    <n v="24"/>
    <n v="165883"/>
    <n v="4"/>
    <n v="3"/>
    <n v="20"/>
    <n v="24"/>
    <n v="2"/>
    <n v="2"/>
    <n v="3"/>
    <n v="2"/>
    <x v="4"/>
    <m/>
  </r>
  <r>
    <x v="0"/>
    <s v="Travel_Frequently"/>
    <x v="1"/>
    <s v="Current Employees"/>
    <x v="2"/>
    <x v="4"/>
    <s v="STAFF-631"/>
    <n v="631"/>
    <x v="1"/>
    <x v="8"/>
    <x v="2"/>
    <s v="Yes"/>
    <n v="39"/>
    <n v="89787"/>
    <n v="4"/>
    <n v="4"/>
    <n v="14"/>
    <n v="10"/>
    <n v="2"/>
    <n v="3"/>
    <n v="3"/>
    <n v="30"/>
    <x v="4"/>
    <m/>
  </r>
  <r>
    <x v="0"/>
    <s v="Non-Travel"/>
    <x v="1"/>
    <s v="Current Employees"/>
    <x v="3"/>
    <x v="1"/>
    <s v="STAFF-632"/>
    <n v="632"/>
    <x v="0"/>
    <x v="5"/>
    <x v="0"/>
    <s v="Yes"/>
    <n v="55"/>
    <n v="159011"/>
    <n v="2"/>
    <n v="1"/>
    <n v="31"/>
    <n v="1"/>
    <n v="2"/>
    <n v="2"/>
    <n v="4"/>
    <n v="19"/>
    <x v="2"/>
    <m/>
  </r>
  <r>
    <x v="0"/>
    <s v="Travel_Frequently"/>
    <x v="2"/>
    <s v="Current Employees"/>
    <x v="1"/>
    <x v="4"/>
    <s v="STAFF-633"/>
    <n v="633"/>
    <x v="0"/>
    <x v="9"/>
    <x v="1"/>
    <s v="No"/>
    <n v="37"/>
    <n v="40770"/>
    <n v="2"/>
    <n v="3"/>
    <n v="7"/>
    <n v="22"/>
    <n v="6"/>
    <n v="1"/>
    <n v="3"/>
    <n v="24"/>
    <x v="1"/>
    <m/>
  </r>
  <r>
    <x v="0"/>
    <s v="Travel_Frequently"/>
    <x v="2"/>
    <s v="Current Employees"/>
    <x v="0"/>
    <x v="3"/>
    <s v="STAFF-634"/>
    <n v="634"/>
    <x v="0"/>
    <x v="1"/>
    <x v="2"/>
    <s v="No"/>
    <n v="27"/>
    <n v="154654"/>
    <n v="3"/>
    <n v="2"/>
    <n v="35"/>
    <n v="42"/>
    <n v="6"/>
    <n v="1"/>
    <n v="3"/>
    <n v="8"/>
    <x v="4"/>
    <m/>
  </r>
  <r>
    <x v="0"/>
    <s v="Non-Travel"/>
    <x v="4"/>
    <s v="Current Employees"/>
    <x v="3"/>
    <x v="0"/>
    <s v="STAFF-635"/>
    <n v="635"/>
    <x v="1"/>
    <x v="9"/>
    <x v="2"/>
    <s v="No"/>
    <n v="32"/>
    <n v="148213"/>
    <n v="3"/>
    <n v="2"/>
    <n v="12"/>
    <n v="40"/>
    <n v="0"/>
    <n v="2"/>
    <n v="3"/>
    <n v="14"/>
    <x v="1"/>
    <m/>
  </r>
  <r>
    <x v="0"/>
    <s v="Travel_Rarely"/>
    <x v="2"/>
    <s v="Current Employees"/>
    <x v="5"/>
    <x v="4"/>
    <s v="STAFF-636"/>
    <n v="636"/>
    <x v="1"/>
    <x v="8"/>
    <x v="0"/>
    <s v="No"/>
    <n v="58"/>
    <n v="79529"/>
    <n v="3"/>
    <n v="4"/>
    <n v="33"/>
    <n v="42"/>
    <n v="1"/>
    <n v="3"/>
    <n v="3"/>
    <n v="29"/>
    <x v="3"/>
    <m/>
  </r>
  <r>
    <x v="0"/>
    <s v="Travel_Frequently"/>
    <x v="2"/>
    <s v="Current Employees"/>
    <x v="5"/>
    <x v="1"/>
    <s v="STAFF-637"/>
    <n v="637"/>
    <x v="1"/>
    <x v="4"/>
    <x v="1"/>
    <s v="No"/>
    <n v="27"/>
    <n v="75391"/>
    <n v="1"/>
    <n v="3"/>
    <n v="26"/>
    <n v="28"/>
    <n v="2"/>
    <n v="2"/>
    <n v="4"/>
    <n v="4"/>
    <x v="4"/>
    <m/>
  </r>
  <r>
    <x v="0"/>
    <s v="Travel_Frequently"/>
    <x v="1"/>
    <s v="Current Employees"/>
    <x v="4"/>
    <x v="3"/>
    <s v="STAFF-638"/>
    <n v="638"/>
    <x v="1"/>
    <x v="6"/>
    <x v="1"/>
    <s v="No"/>
    <n v="59"/>
    <n v="126004"/>
    <n v="2"/>
    <n v="1"/>
    <n v="18"/>
    <n v="17"/>
    <n v="4"/>
    <n v="2"/>
    <n v="4"/>
    <n v="2"/>
    <x v="0"/>
    <m/>
  </r>
  <r>
    <x v="0"/>
    <s v="Travel_Frequently"/>
    <x v="1"/>
    <s v="Current Employees"/>
    <x v="0"/>
    <x v="5"/>
    <s v="STAFF-639"/>
    <n v="639"/>
    <x v="1"/>
    <x v="7"/>
    <x v="1"/>
    <s v="No"/>
    <n v="24"/>
    <n v="88337"/>
    <n v="4"/>
    <n v="2"/>
    <n v="21"/>
    <n v="40"/>
    <n v="6"/>
    <n v="1"/>
    <n v="4"/>
    <n v="15"/>
    <x v="2"/>
    <m/>
  </r>
  <r>
    <x v="0"/>
    <s v="Travel_Rarely"/>
    <x v="4"/>
    <s v="Current Employees"/>
    <x v="2"/>
    <x v="3"/>
    <s v="STAFF-640"/>
    <n v="640"/>
    <x v="0"/>
    <x v="2"/>
    <x v="0"/>
    <s v="No"/>
    <n v="29"/>
    <n v="176586"/>
    <n v="1"/>
    <n v="1"/>
    <n v="24"/>
    <n v="5"/>
    <n v="6"/>
    <n v="3"/>
    <n v="4"/>
    <n v="25"/>
    <x v="0"/>
    <m/>
  </r>
  <r>
    <x v="0"/>
    <s v="Travel_Frequently"/>
    <x v="0"/>
    <s v="Current Employees"/>
    <x v="3"/>
    <x v="1"/>
    <s v="STAFF-641"/>
    <n v="641"/>
    <x v="0"/>
    <x v="6"/>
    <x v="0"/>
    <s v="No"/>
    <n v="35"/>
    <n v="94070"/>
    <n v="2"/>
    <n v="3"/>
    <n v="21"/>
    <n v="26"/>
    <n v="1"/>
    <n v="2"/>
    <n v="3"/>
    <n v="2"/>
    <x v="1"/>
    <m/>
  </r>
  <r>
    <x v="0"/>
    <s v="Travel_Frequently"/>
    <x v="2"/>
    <s v="Current Employees"/>
    <x v="2"/>
    <x v="5"/>
    <s v="STAFF-642"/>
    <n v="642"/>
    <x v="0"/>
    <x v="6"/>
    <x v="1"/>
    <s v="No"/>
    <n v="22"/>
    <n v="78294"/>
    <n v="2"/>
    <n v="1"/>
    <n v="17"/>
    <n v="7"/>
    <n v="6"/>
    <n v="4"/>
    <n v="4"/>
    <n v="5"/>
    <x v="3"/>
    <m/>
  </r>
  <r>
    <x v="1"/>
    <s v="Non-Travel"/>
    <x v="0"/>
    <s v="Ex-Employees"/>
    <x v="2"/>
    <x v="3"/>
    <s v="STAFF-643"/>
    <n v="643"/>
    <x v="1"/>
    <x v="5"/>
    <x v="2"/>
    <s v="Yes"/>
    <n v="27"/>
    <n v="172191"/>
    <n v="4"/>
    <n v="2"/>
    <n v="38"/>
    <n v="19"/>
    <n v="6"/>
    <n v="3"/>
    <n v="4"/>
    <n v="17"/>
    <x v="1"/>
    <m/>
  </r>
  <r>
    <x v="0"/>
    <s v="Travel_Frequently"/>
    <x v="2"/>
    <s v="Current Employees"/>
    <x v="4"/>
    <x v="3"/>
    <s v="STAFF-644"/>
    <n v="644"/>
    <x v="1"/>
    <x v="7"/>
    <x v="1"/>
    <s v="No"/>
    <n v="26"/>
    <n v="76262"/>
    <n v="4"/>
    <n v="3"/>
    <n v="30"/>
    <n v="18"/>
    <n v="5"/>
    <n v="2"/>
    <n v="4"/>
    <n v="1"/>
    <x v="2"/>
    <m/>
  </r>
  <r>
    <x v="0"/>
    <s v="Non-Travel"/>
    <x v="3"/>
    <s v="Current Employees"/>
    <x v="2"/>
    <x v="4"/>
    <s v="STAFF-645"/>
    <n v="645"/>
    <x v="1"/>
    <x v="3"/>
    <x v="0"/>
    <s v="Yes"/>
    <n v="46"/>
    <n v="78847"/>
    <n v="4"/>
    <n v="3"/>
    <n v="30"/>
    <n v="36"/>
    <n v="0"/>
    <n v="3"/>
    <n v="4"/>
    <n v="5"/>
    <x v="1"/>
    <m/>
  </r>
  <r>
    <x v="0"/>
    <s v="Non-Travel"/>
    <x v="1"/>
    <s v="Current Employees"/>
    <x v="1"/>
    <x v="0"/>
    <s v="STAFF-646"/>
    <n v="646"/>
    <x v="0"/>
    <x v="6"/>
    <x v="1"/>
    <s v="No"/>
    <n v="54"/>
    <n v="166541"/>
    <n v="2"/>
    <n v="1"/>
    <n v="31"/>
    <n v="16"/>
    <n v="3"/>
    <n v="3"/>
    <n v="4"/>
    <n v="27"/>
    <x v="4"/>
    <m/>
  </r>
  <r>
    <x v="0"/>
    <s v="Travel_Frequently"/>
    <x v="2"/>
    <s v="Current Employees"/>
    <x v="2"/>
    <x v="4"/>
    <s v="STAFF-647"/>
    <n v="647"/>
    <x v="1"/>
    <x v="3"/>
    <x v="0"/>
    <s v="No"/>
    <n v="55"/>
    <n v="149023"/>
    <n v="3"/>
    <n v="2"/>
    <n v="20"/>
    <n v="29"/>
    <n v="5"/>
    <n v="4"/>
    <n v="3"/>
    <n v="30"/>
    <x v="1"/>
    <m/>
  </r>
  <r>
    <x v="0"/>
    <s v="Travel_Rarely"/>
    <x v="0"/>
    <s v="Current Employees"/>
    <x v="3"/>
    <x v="0"/>
    <s v="STAFF-648"/>
    <n v="648"/>
    <x v="0"/>
    <x v="6"/>
    <x v="2"/>
    <s v="No"/>
    <n v="28"/>
    <n v="28239"/>
    <n v="4"/>
    <n v="4"/>
    <n v="10"/>
    <n v="40"/>
    <n v="6"/>
    <n v="4"/>
    <n v="3"/>
    <n v="24"/>
    <x v="0"/>
    <m/>
  </r>
  <r>
    <x v="0"/>
    <s v="Travel_Frequently"/>
    <x v="0"/>
    <s v="Current Employees"/>
    <x v="4"/>
    <x v="2"/>
    <s v="STAFF-649"/>
    <n v="649"/>
    <x v="1"/>
    <x v="4"/>
    <x v="1"/>
    <s v="No"/>
    <n v="57"/>
    <n v="61501"/>
    <n v="2"/>
    <n v="3"/>
    <n v="33"/>
    <n v="13"/>
    <n v="6"/>
    <n v="3"/>
    <n v="4"/>
    <n v="16"/>
    <x v="2"/>
    <m/>
  </r>
  <r>
    <x v="0"/>
    <s v="Non-Travel"/>
    <x v="1"/>
    <s v="Current Employees"/>
    <x v="5"/>
    <x v="0"/>
    <s v="STAFF-650"/>
    <n v="650"/>
    <x v="0"/>
    <x v="4"/>
    <x v="0"/>
    <s v="No"/>
    <n v="21"/>
    <n v="101280"/>
    <n v="4"/>
    <n v="2"/>
    <n v="9"/>
    <n v="30"/>
    <n v="0"/>
    <n v="1"/>
    <n v="4"/>
    <n v="23"/>
    <x v="4"/>
    <m/>
  </r>
  <r>
    <x v="0"/>
    <s v="Travel_Frequently"/>
    <x v="0"/>
    <s v="Current Employees"/>
    <x v="1"/>
    <x v="4"/>
    <s v="STAFF-651"/>
    <n v="651"/>
    <x v="0"/>
    <x v="2"/>
    <x v="1"/>
    <s v="Yes"/>
    <n v="25"/>
    <n v="109869"/>
    <n v="2"/>
    <n v="3"/>
    <n v="40"/>
    <n v="0"/>
    <n v="1"/>
    <n v="3"/>
    <n v="4"/>
    <n v="27"/>
    <x v="2"/>
    <m/>
  </r>
  <r>
    <x v="0"/>
    <s v="Travel_Frequently"/>
    <x v="1"/>
    <s v="Current Employees"/>
    <x v="2"/>
    <x v="2"/>
    <s v="STAFF-652"/>
    <n v="652"/>
    <x v="0"/>
    <x v="0"/>
    <x v="0"/>
    <s v="Yes"/>
    <n v="27"/>
    <n v="74738"/>
    <n v="3"/>
    <n v="2"/>
    <n v="16"/>
    <n v="36"/>
    <n v="0"/>
    <n v="2"/>
    <n v="4"/>
    <n v="11"/>
    <x v="0"/>
    <m/>
  </r>
  <r>
    <x v="0"/>
    <s v="Non-Travel"/>
    <x v="2"/>
    <s v="Current Employees"/>
    <x v="0"/>
    <x v="1"/>
    <s v="STAFF-653"/>
    <n v="653"/>
    <x v="1"/>
    <x v="3"/>
    <x v="2"/>
    <s v="Yes"/>
    <n v="35"/>
    <n v="74739"/>
    <n v="1"/>
    <n v="2"/>
    <n v="9"/>
    <n v="10"/>
    <n v="3"/>
    <n v="1"/>
    <n v="4"/>
    <n v="3"/>
    <x v="1"/>
    <m/>
  </r>
  <r>
    <x v="0"/>
    <s v="Non-Travel"/>
    <x v="4"/>
    <s v="Current Employees"/>
    <x v="1"/>
    <x v="5"/>
    <s v="STAFF-654"/>
    <n v="654"/>
    <x v="1"/>
    <x v="8"/>
    <x v="0"/>
    <s v="Yes"/>
    <n v="36"/>
    <n v="164838"/>
    <n v="4"/>
    <n v="4"/>
    <n v="24"/>
    <n v="30"/>
    <n v="2"/>
    <n v="3"/>
    <n v="4"/>
    <n v="17"/>
    <x v="1"/>
    <m/>
  </r>
  <r>
    <x v="1"/>
    <s v="Non-Travel"/>
    <x v="4"/>
    <s v="Ex-Employees"/>
    <x v="3"/>
    <x v="2"/>
    <s v="STAFF-655"/>
    <n v="655"/>
    <x v="0"/>
    <x v="7"/>
    <x v="0"/>
    <s v="No"/>
    <n v="52"/>
    <n v="83677"/>
    <n v="1"/>
    <n v="4"/>
    <n v="22"/>
    <n v="11"/>
    <n v="0"/>
    <n v="3"/>
    <n v="4"/>
    <n v="25"/>
    <x v="3"/>
    <m/>
  </r>
  <r>
    <x v="0"/>
    <s v="Travel_Rarely"/>
    <x v="1"/>
    <s v="Current Employees"/>
    <x v="2"/>
    <x v="5"/>
    <s v="STAFF-656"/>
    <n v="656"/>
    <x v="1"/>
    <x v="6"/>
    <x v="0"/>
    <s v="Yes"/>
    <n v="33"/>
    <n v="133888"/>
    <n v="3"/>
    <n v="2"/>
    <n v="0"/>
    <n v="37"/>
    <n v="2"/>
    <n v="3"/>
    <n v="3"/>
    <n v="30"/>
    <x v="3"/>
    <m/>
  </r>
  <r>
    <x v="1"/>
    <s v="Non-Travel"/>
    <x v="2"/>
    <s v="Ex-Employees"/>
    <x v="4"/>
    <x v="2"/>
    <s v="STAFF-657"/>
    <n v="657"/>
    <x v="0"/>
    <x v="8"/>
    <x v="0"/>
    <s v="No"/>
    <n v="46"/>
    <n v="29512"/>
    <n v="3"/>
    <n v="3"/>
    <n v="40"/>
    <n v="3"/>
    <n v="4"/>
    <n v="1"/>
    <n v="4"/>
    <n v="20"/>
    <x v="2"/>
    <m/>
  </r>
  <r>
    <x v="0"/>
    <s v="Non-Travel"/>
    <x v="2"/>
    <s v="Current Employees"/>
    <x v="5"/>
    <x v="4"/>
    <s v="STAFF-658"/>
    <n v="658"/>
    <x v="0"/>
    <x v="1"/>
    <x v="2"/>
    <s v="Yes"/>
    <n v="32"/>
    <n v="52510"/>
    <n v="1"/>
    <n v="4"/>
    <n v="7"/>
    <n v="3"/>
    <n v="3"/>
    <n v="1"/>
    <n v="4"/>
    <n v="4"/>
    <x v="0"/>
    <m/>
  </r>
  <r>
    <x v="0"/>
    <s v="Non-Travel"/>
    <x v="4"/>
    <s v="Current Employees"/>
    <x v="5"/>
    <x v="3"/>
    <s v="STAFF-659"/>
    <n v="659"/>
    <x v="0"/>
    <x v="1"/>
    <x v="0"/>
    <s v="No"/>
    <n v="31"/>
    <n v="171838"/>
    <n v="3"/>
    <n v="1"/>
    <n v="25"/>
    <n v="26"/>
    <n v="6"/>
    <n v="1"/>
    <n v="3"/>
    <n v="7"/>
    <x v="0"/>
    <m/>
  </r>
  <r>
    <x v="0"/>
    <s v="Travel_Frequently"/>
    <x v="1"/>
    <s v="Current Employees"/>
    <x v="3"/>
    <x v="4"/>
    <s v="STAFF-660"/>
    <n v="660"/>
    <x v="1"/>
    <x v="2"/>
    <x v="2"/>
    <s v="No"/>
    <n v="32"/>
    <n v="18845"/>
    <n v="3"/>
    <n v="3"/>
    <n v="35"/>
    <n v="22"/>
    <n v="0"/>
    <n v="3"/>
    <n v="4"/>
    <n v="19"/>
    <x v="1"/>
    <m/>
  </r>
  <r>
    <x v="0"/>
    <s v="Travel_Rarely"/>
    <x v="2"/>
    <s v="Current Employees"/>
    <x v="4"/>
    <x v="0"/>
    <s v="STAFF-661"/>
    <n v="661"/>
    <x v="0"/>
    <x v="6"/>
    <x v="1"/>
    <s v="Yes"/>
    <n v="31"/>
    <n v="20736"/>
    <n v="2"/>
    <n v="3"/>
    <n v="29"/>
    <n v="5"/>
    <n v="5"/>
    <n v="2"/>
    <n v="4"/>
    <n v="27"/>
    <x v="4"/>
    <m/>
  </r>
  <r>
    <x v="0"/>
    <s v="Travel_Rarely"/>
    <x v="2"/>
    <s v="Current Employees"/>
    <x v="0"/>
    <x v="5"/>
    <s v="STAFF-662"/>
    <n v="662"/>
    <x v="1"/>
    <x v="6"/>
    <x v="1"/>
    <s v="Yes"/>
    <n v="57"/>
    <n v="100717"/>
    <n v="4"/>
    <n v="2"/>
    <n v="12"/>
    <n v="17"/>
    <n v="1"/>
    <n v="2"/>
    <n v="4"/>
    <n v="9"/>
    <x v="2"/>
    <m/>
  </r>
  <r>
    <x v="0"/>
    <s v="Travel_Frequently"/>
    <x v="2"/>
    <s v="Current Employees"/>
    <x v="2"/>
    <x v="2"/>
    <s v="STAFF-663"/>
    <n v="663"/>
    <x v="1"/>
    <x v="6"/>
    <x v="2"/>
    <s v="No"/>
    <n v="30"/>
    <n v="159020"/>
    <n v="2"/>
    <n v="4"/>
    <n v="22"/>
    <n v="41"/>
    <n v="6"/>
    <n v="3"/>
    <n v="3"/>
    <n v="11"/>
    <x v="0"/>
    <m/>
  </r>
  <r>
    <x v="0"/>
    <s v="Travel_Rarely"/>
    <x v="2"/>
    <s v="Current Employees"/>
    <x v="0"/>
    <x v="1"/>
    <s v="STAFF-664"/>
    <n v="664"/>
    <x v="0"/>
    <x v="8"/>
    <x v="2"/>
    <s v="No"/>
    <n v="37"/>
    <n v="26243"/>
    <n v="1"/>
    <n v="2"/>
    <n v="30"/>
    <n v="8"/>
    <n v="3"/>
    <n v="3"/>
    <n v="4"/>
    <n v="19"/>
    <x v="2"/>
    <m/>
  </r>
  <r>
    <x v="0"/>
    <s v="Non-Travel"/>
    <x v="4"/>
    <s v="Current Employees"/>
    <x v="0"/>
    <x v="4"/>
    <s v="STAFF-665"/>
    <n v="665"/>
    <x v="1"/>
    <x v="5"/>
    <x v="2"/>
    <s v="No"/>
    <n v="51"/>
    <n v="105742"/>
    <n v="3"/>
    <n v="1"/>
    <n v="11"/>
    <n v="22"/>
    <n v="2"/>
    <n v="2"/>
    <n v="4"/>
    <n v="18"/>
    <x v="4"/>
    <m/>
  </r>
  <r>
    <x v="0"/>
    <s v="Travel_Frequently"/>
    <x v="1"/>
    <s v="Current Employees"/>
    <x v="2"/>
    <x v="1"/>
    <s v="STAFF-666"/>
    <n v="666"/>
    <x v="1"/>
    <x v="7"/>
    <x v="1"/>
    <s v="Yes"/>
    <n v="37"/>
    <n v="115836"/>
    <n v="3"/>
    <n v="4"/>
    <n v="25"/>
    <n v="19"/>
    <n v="0"/>
    <n v="2"/>
    <n v="3"/>
    <n v="14"/>
    <x v="2"/>
    <m/>
  </r>
  <r>
    <x v="0"/>
    <s v="Non-Travel"/>
    <x v="3"/>
    <s v="Current Employees"/>
    <x v="1"/>
    <x v="4"/>
    <s v="STAFF-667"/>
    <n v="667"/>
    <x v="0"/>
    <x v="4"/>
    <x v="2"/>
    <s v="No"/>
    <n v="59"/>
    <n v="155385"/>
    <n v="2"/>
    <n v="2"/>
    <n v="8"/>
    <n v="42"/>
    <n v="2"/>
    <n v="1"/>
    <n v="3"/>
    <n v="10"/>
    <x v="4"/>
    <m/>
  </r>
  <r>
    <x v="0"/>
    <s v="Travel_Frequently"/>
    <x v="2"/>
    <s v="Current Employees"/>
    <x v="3"/>
    <x v="4"/>
    <s v="STAFF-668"/>
    <n v="668"/>
    <x v="0"/>
    <x v="3"/>
    <x v="2"/>
    <s v="No"/>
    <n v="40"/>
    <n v="39069"/>
    <n v="2"/>
    <n v="2"/>
    <n v="13"/>
    <n v="27"/>
    <n v="0"/>
    <n v="2"/>
    <n v="3"/>
    <n v="22"/>
    <x v="0"/>
    <m/>
  </r>
  <r>
    <x v="1"/>
    <s v="Travel_Rarely"/>
    <x v="1"/>
    <s v="Ex-Employees"/>
    <x v="1"/>
    <x v="2"/>
    <s v="STAFF-669"/>
    <n v="669"/>
    <x v="0"/>
    <x v="9"/>
    <x v="0"/>
    <s v="No"/>
    <n v="34"/>
    <n v="141812"/>
    <n v="4"/>
    <n v="4"/>
    <n v="15"/>
    <n v="6"/>
    <n v="3"/>
    <n v="2"/>
    <n v="4"/>
    <n v="25"/>
    <x v="4"/>
    <m/>
  </r>
  <r>
    <x v="0"/>
    <s v="Non-Travel"/>
    <x v="1"/>
    <s v="Current Employees"/>
    <x v="0"/>
    <x v="3"/>
    <s v="STAFF-670"/>
    <n v="670"/>
    <x v="1"/>
    <x v="2"/>
    <x v="1"/>
    <s v="Yes"/>
    <n v="43"/>
    <n v="146007"/>
    <n v="1"/>
    <n v="2"/>
    <n v="38"/>
    <n v="11"/>
    <n v="6"/>
    <n v="2"/>
    <n v="4"/>
    <n v="12"/>
    <x v="3"/>
    <m/>
  </r>
  <r>
    <x v="0"/>
    <s v="Travel_Frequently"/>
    <x v="0"/>
    <s v="Current Employees"/>
    <x v="2"/>
    <x v="4"/>
    <s v="STAFF-671"/>
    <n v="671"/>
    <x v="0"/>
    <x v="6"/>
    <x v="1"/>
    <s v="Yes"/>
    <n v="23"/>
    <n v="73373"/>
    <n v="3"/>
    <n v="4"/>
    <n v="5"/>
    <n v="21"/>
    <n v="3"/>
    <n v="2"/>
    <n v="4"/>
    <n v="5"/>
    <x v="3"/>
    <m/>
  </r>
  <r>
    <x v="0"/>
    <s v="Travel_Rarely"/>
    <x v="2"/>
    <s v="Current Employees"/>
    <x v="1"/>
    <x v="2"/>
    <s v="STAFF-672"/>
    <n v="672"/>
    <x v="1"/>
    <x v="6"/>
    <x v="2"/>
    <s v="No"/>
    <n v="54"/>
    <n v="45900"/>
    <n v="4"/>
    <n v="1"/>
    <n v="22"/>
    <n v="6"/>
    <n v="5"/>
    <n v="4"/>
    <n v="3"/>
    <n v="6"/>
    <x v="3"/>
    <m/>
  </r>
  <r>
    <x v="0"/>
    <s v="Travel_Frequently"/>
    <x v="2"/>
    <s v="Current Employees"/>
    <x v="5"/>
    <x v="4"/>
    <s v="STAFF-673"/>
    <n v="673"/>
    <x v="1"/>
    <x v="7"/>
    <x v="1"/>
    <s v="Yes"/>
    <n v="40"/>
    <n v="129406"/>
    <n v="3"/>
    <n v="1"/>
    <n v="38"/>
    <n v="28"/>
    <n v="4"/>
    <n v="3"/>
    <n v="4"/>
    <n v="23"/>
    <x v="3"/>
    <m/>
  </r>
  <r>
    <x v="1"/>
    <s v="Travel_Rarely"/>
    <x v="3"/>
    <s v="Ex-Employees"/>
    <x v="4"/>
    <x v="5"/>
    <s v="STAFF-674"/>
    <n v="674"/>
    <x v="1"/>
    <x v="0"/>
    <x v="2"/>
    <s v="Yes"/>
    <n v="42"/>
    <n v="172705"/>
    <n v="3"/>
    <n v="2"/>
    <n v="32"/>
    <n v="39"/>
    <n v="5"/>
    <n v="4"/>
    <n v="4"/>
    <n v="2"/>
    <x v="2"/>
    <m/>
  </r>
  <r>
    <x v="0"/>
    <s v="Travel_Frequently"/>
    <x v="1"/>
    <s v="Current Employees"/>
    <x v="1"/>
    <x v="2"/>
    <s v="STAFF-675"/>
    <n v="675"/>
    <x v="0"/>
    <x v="2"/>
    <x v="0"/>
    <s v="No"/>
    <n v="37"/>
    <n v="129595"/>
    <n v="3"/>
    <n v="3"/>
    <n v="1"/>
    <n v="34"/>
    <n v="2"/>
    <n v="2"/>
    <n v="4"/>
    <n v="12"/>
    <x v="2"/>
    <m/>
  </r>
  <r>
    <x v="0"/>
    <s v="Travel_Rarely"/>
    <x v="1"/>
    <s v="Current Employees"/>
    <x v="5"/>
    <x v="1"/>
    <s v="STAFF-676"/>
    <n v="676"/>
    <x v="0"/>
    <x v="1"/>
    <x v="0"/>
    <s v="Yes"/>
    <n v="55"/>
    <n v="121865"/>
    <n v="2"/>
    <n v="2"/>
    <n v="5"/>
    <n v="34"/>
    <n v="0"/>
    <n v="2"/>
    <n v="3"/>
    <n v="21"/>
    <x v="2"/>
    <m/>
  </r>
  <r>
    <x v="0"/>
    <s v="Non-Travel"/>
    <x v="1"/>
    <s v="Current Employees"/>
    <x v="1"/>
    <x v="1"/>
    <s v="STAFF-677"/>
    <n v="677"/>
    <x v="0"/>
    <x v="4"/>
    <x v="0"/>
    <s v="No"/>
    <n v="23"/>
    <n v="38063"/>
    <n v="3"/>
    <n v="3"/>
    <n v="2"/>
    <n v="9"/>
    <n v="4"/>
    <n v="1"/>
    <n v="4"/>
    <n v="17"/>
    <x v="1"/>
    <m/>
  </r>
  <r>
    <x v="0"/>
    <s v="Travel_Frequently"/>
    <x v="2"/>
    <s v="Current Employees"/>
    <x v="0"/>
    <x v="5"/>
    <s v="STAFF-678"/>
    <n v="678"/>
    <x v="0"/>
    <x v="6"/>
    <x v="0"/>
    <s v="No"/>
    <n v="26"/>
    <n v="131622"/>
    <n v="1"/>
    <n v="2"/>
    <n v="36"/>
    <n v="16"/>
    <n v="2"/>
    <n v="2"/>
    <n v="3"/>
    <n v="12"/>
    <x v="0"/>
    <m/>
  </r>
  <r>
    <x v="0"/>
    <s v="Travel_Frequently"/>
    <x v="4"/>
    <s v="Current Employees"/>
    <x v="1"/>
    <x v="3"/>
    <s v="STAFF-679"/>
    <n v="679"/>
    <x v="0"/>
    <x v="8"/>
    <x v="0"/>
    <s v="Yes"/>
    <n v="59"/>
    <n v="122509"/>
    <n v="2"/>
    <n v="3"/>
    <n v="17"/>
    <n v="0"/>
    <n v="3"/>
    <n v="2"/>
    <n v="3"/>
    <n v="26"/>
    <x v="2"/>
    <m/>
  </r>
  <r>
    <x v="0"/>
    <s v="Non-Travel"/>
    <x v="1"/>
    <s v="Current Employees"/>
    <x v="1"/>
    <x v="3"/>
    <s v="STAFF-680"/>
    <n v="680"/>
    <x v="1"/>
    <x v="0"/>
    <x v="2"/>
    <s v="Yes"/>
    <n v="22"/>
    <n v="103094"/>
    <n v="2"/>
    <n v="1"/>
    <n v="39"/>
    <n v="18"/>
    <n v="5"/>
    <n v="4"/>
    <n v="4"/>
    <n v="21"/>
    <x v="0"/>
    <m/>
  </r>
  <r>
    <x v="0"/>
    <s v="Travel_Rarely"/>
    <x v="1"/>
    <s v="Current Employees"/>
    <x v="2"/>
    <x v="2"/>
    <s v="STAFF-681"/>
    <n v="681"/>
    <x v="1"/>
    <x v="1"/>
    <x v="1"/>
    <s v="No"/>
    <n v="30"/>
    <n v="139096"/>
    <n v="4"/>
    <n v="2"/>
    <n v="34"/>
    <n v="10"/>
    <n v="5"/>
    <n v="4"/>
    <n v="4"/>
    <n v="13"/>
    <x v="1"/>
    <m/>
  </r>
  <r>
    <x v="0"/>
    <s v="Non-Travel"/>
    <x v="2"/>
    <s v="Current Employees"/>
    <x v="4"/>
    <x v="5"/>
    <s v="STAFF-682"/>
    <n v="682"/>
    <x v="1"/>
    <x v="0"/>
    <x v="2"/>
    <s v="No"/>
    <n v="40"/>
    <n v="94499"/>
    <n v="3"/>
    <n v="4"/>
    <n v="29"/>
    <n v="1"/>
    <n v="1"/>
    <n v="2"/>
    <n v="4"/>
    <n v="19"/>
    <x v="2"/>
    <m/>
  </r>
  <r>
    <x v="0"/>
    <s v="Non-Travel"/>
    <x v="4"/>
    <s v="Current Employees"/>
    <x v="0"/>
    <x v="3"/>
    <s v="STAFF-683"/>
    <n v="683"/>
    <x v="1"/>
    <x v="3"/>
    <x v="1"/>
    <s v="Yes"/>
    <n v="45"/>
    <n v="177153"/>
    <n v="1"/>
    <n v="1"/>
    <n v="25"/>
    <n v="13"/>
    <n v="1"/>
    <n v="1"/>
    <n v="4"/>
    <n v="6"/>
    <x v="4"/>
    <m/>
  </r>
  <r>
    <x v="0"/>
    <s v="Non-Travel"/>
    <x v="3"/>
    <s v="Current Employees"/>
    <x v="1"/>
    <x v="5"/>
    <s v="STAFF-684"/>
    <n v="684"/>
    <x v="1"/>
    <x v="3"/>
    <x v="1"/>
    <s v="No"/>
    <n v="41"/>
    <n v="113204"/>
    <n v="1"/>
    <n v="3"/>
    <n v="32"/>
    <n v="34"/>
    <n v="4"/>
    <n v="4"/>
    <n v="3"/>
    <n v="28"/>
    <x v="2"/>
    <m/>
  </r>
  <r>
    <x v="0"/>
    <s v="Travel_Rarely"/>
    <x v="2"/>
    <s v="Current Employees"/>
    <x v="1"/>
    <x v="0"/>
    <s v="STAFF-685"/>
    <n v="685"/>
    <x v="1"/>
    <x v="8"/>
    <x v="2"/>
    <s v="No"/>
    <n v="50"/>
    <n v="63159"/>
    <n v="1"/>
    <n v="4"/>
    <n v="37"/>
    <n v="41"/>
    <n v="3"/>
    <n v="4"/>
    <n v="4"/>
    <n v="7"/>
    <x v="1"/>
    <m/>
  </r>
  <r>
    <x v="0"/>
    <s v="Non-Travel"/>
    <x v="1"/>
    <s v="Current Employees"/>
    <x v="2"/>
    <x v="4"/>
    <s v="STAFF-686"/>
    <n v="686"/>
    <x v="1"/>
    <x v="5"/>
    <x v="1"/>
    <s v="Yes"/>
    <n v="31"/>
    <n v="167240"/>
    <n v="4"/>
    <n v="1"/>
    <n v="23"/>
    <n v="1"/>
    <n v="5"/>
    <n v="4"/>
    <n v="3"/>
    <n v="28"/>
    <x v="4"/>
    <m/>
  </r>
  <r>
    <x v="0"/>
    <s v="Travel_Rarely"/>
    <x v="2"/>
    <s v="Current Employees"/>
    <x v="3"/>
    <x v="5"/>
    <s v="STAFF-687"/>
    <n v="687"/>
    <x v="0"/>
    <x v="1"/>
    <x v="2"/>
    <s v="No"/>
    <n v="25"/>
    <n v="26097"/>
    <n v="2"/>
    <n v="4"/>
    <n v="29"/>
    <n v="15"/>
    <n v="5"/>
    <n v="4"/>
    <n v="3"/>
    <n v="26"/>
    <x v="4"/>
    <m/>
  </r>
  <r>
    <x v="1"/>
    <s v="Non-Travel"/>
    <x v="2"/>
    <s v="Ex-Employees"/>
    <x v="4"/>
    <x v="2"/>
    <s v="STAFF-688"/>
    <n v="688"/>
    <x v="0"/>
    <x v="3"/>
    <x v="1"/>
    <s v="Yes"/>
    <n v="21"/>
    <n v="26473"/>
    <n v="4"/>
    <n v="4"/>
    <n v="24"/>
    <n v="4"/>
    <n v="6"/>
    <n v="4"/>
    <n v="4"/>
    <n v="29"/>
    <x v="0"/>
    <m/>
  </r>
  <r>
    <x v="0"/>
    <s v="Non-Travel"/>
    <x v="4"/>
    <s v="Current Employees"/>
    <x v="5"/>
    <x v="3"/>
    <s v="STAFF-689"/>
    <n v="689"/>
    <x v="0"/>
    <x v="9"/>
    <x v="1"/>
    <s v="Yes"/>
    <n v="39"/>
    <n v="122437"/>
    <n v="1"/>
    <n v="3"/>
    <n v="25"/>
    <n v="32"/>
    <n v="5"/>
    <n v="4"/>
    <n v="4"/>
    <n v="26"/>
    <x v="1"/>
    <m/>
  </r>
  <r>
    <x v="0"/>
    <s v="Travel_Rarely"/>
    <x v="4"/>
    <s v="Current Employees"/>
    <x v="2"/>
    <x v="3"/>
    <s v="STAFF-690"/>
    <n v="690"/>
    <x v="0"/>
    <x v="1"/>
    <x v="1"/>
    <s v="No"/>
    <n v="30"/>
    <n v="81718"/>
    <n v="4"/>
    <n v="2"/>
    <n v="16"/>
    <n v="6"/>
    <n v="2"/>
    <n v="1"/>
    <n v="4"/>
    <n v="29"/>
    <x v="2"/>
    <m/>
  </r>
  <r>
    <x v="0"/>
    <s v="Travel_Frequently"/>
    <x v="4"/>
    <s v="Current Employees"/>
    <x v="0"/>
    <x v="3"/>
    <s v="STAFF-691"/>
    <n v="691"/>
    <x v="1"/>
    <x v="1"/>
    <x v="1"/>
    <s v="No"/>
    <n v="57"/>
    <n v="90167"/>
    <n v="1"/>
    <n v="2"/>
    <n v="9"/>
    <n v="33"/>
    <n v="2"/>
    <n v="1"/>
    <n v="3"/>
    <n v="29"/>
    <x v="3"/>
    <m/>
  </r>
  <r>
    <x v="0"/>
    <s v="Non-Travel"/>
    <x v="2"/>
    <s v="Current Employees"/>
    <x v="0"/>
    <x v="0"/>
    <s v="STAFF-692"/>
    <n v="692"/>
    <x v="1"/>
    <x v="9"/>
    <x v="0"/>
    <s v="No"/>
    <n v="39"/>
    <n v="58485"/>
    <n v="2"/>
    <n v="2"/>
    <n v="38"/>
    <n v="18"/>
    <n v="6"/>
    <n v="4"/>
    <n v="4"/>
    <n v="21"/>
    <x v="4"/>
    <m/>
  </r>
  <r>
    <x v="0"/>
    <s v="Travel_Rarely"/>
    <x v="1"/>
    <s v="Current Employees"/>
    <x v="0"/>
    <x v="1"/>
    <s v="STAFF-693"/>
    <n v="693"/>
    <x v="0"/>
    <x v="8"/>
    <x v="1"/>
    <s v="No"/>
    <n v="51"/>
    <n v="62671"/>
    <n v="3"/>
    <n v="2"/>
    <n v="37"/>
    <n v="32"/>
    <n v="2"/>
    <n v="3"/>
    <n v="4"/>
    <n v="28"/>
    <x v="2"/>
    <m/>
  </r>
  <r>
    <x v="0"/>
    <s v="Travel_Rarely"/>
    <x v="4"/>
    <s v="Current Employees"/>
    <x v="1"/>
    <x v="5"/>
    <s v="STAFF-694"/>
    <n v="694"/>
    <x v="1"/>
    <x v="5"/>
    <x v="0"/>
    <s v="Yes"/>
    <n v="42"/>
    <n v="76936"/>
    <n v="3"/>
    <n v="2"/>
    <n v="14"/>
    <n v="9"/>
    <n v="2"/>
    <n v="1"/>
    <n v="3"/>
    <n v="12"/>
    <x v="2"/>
    <m/>
  </r>
  <r>
    <x v="0"/>
    <s v="Non-Travel"/>
    <x v="4"/>
    <s v="Current Employees"/>
    <x v="4"/>
    <x v="1"/>
    <s v="STAFF-695"/>
    <n v="695"/>
    <x v="0"/>
    <x v="3"/>
    <x v="1"/>
    <s v="Yes"/>
    <n v="46"/>
    <n v="43910"/>
    <n v="3"/>
    <n v="1"/>
    <n v="17"/>
    <n v="35"/>
    <n v="4"/>
    <n v="1"/>
    <n v="3"/>
    <n v="15"/>
    <x v="0"/>
    <m/>
  </r>
  <r>
    <x v="0"/>
    <s v="Travel_Rarely"/>
    <x v="1"/>
    <s v="Current Employees"/>
    <x v="5"/>
    <x v="3"/>
    <s v="STAFF-696"/>
    <n v="696"/>
    <x v="0"/>
    <x v="3"/>
    <x v="0"/>
    <s v="No"/>
    <n v="32"/>
    <n v="28546"/>
    <n v="3"/>
    <n v="3"/>
    <n v="5"/>
    <n v="12"/>
    <n v="5"/>
    <n v="1"/>
    <n v="3"/>
    <n v="17"/>
    <x v="3"/>
    <m/>
  </r>
  <r>
    <x v="0"/>
    <s v="Non-Travel"/>
    <x v="1"/>
    <s v="Current Employees"/>
    <x v="2"/>
    <x v="5"/>
    <s v="STAFF-697"/>
    <n v="697"/>
    <x v="1"/>
    <x v="0"/>
    <x v="0"/>
    <s v="Yes"/>
    <n v="41"/>
    <n v="37150"/>
    <n v="2"/>
    <n v="4"/>
    <n v="7"/>
    <n v="28"/>
    <n v="0"/>
    <n v="4"/>
    <n v="3"/>
    <n v="4"/>
    <x v="0"/>
    <m/>
  </r>
  <r>
    <x v="0"/>
    <s v="Non-Travel"/>
    <x v="2"/>
    <s v="Current Employees"/>
    <x v="0"/>
    <x v="4"/>
    <s v="STAFF-698"/>
    <n v="698"/>
    <x v="1"/>
    <x v="0"/>
    <x v="0"/>
    <s v="No"/>
    <n v="33"/>
    <n v="172386"/>
    <n v="4"/>
    <n v="1"/>
    <n v="16"/>
    <n v="26"/>
    <n v="4"/>
    <n v="3"/>
    <n v="4"/>
    <n v="21"/>
    <x v="4"/>
    <m/>
  </r>
  <r>
    <x v="0"/>
    <s v="Non-Travel"/>
    <x v="2"/>
    <s v="Current Employees"/>
    <x v="0"/>
    <x v="2"/>
    <s v="STAFF-699"/>
    <n v="699"/>
    <x v="1"/>
    <x v="4"/>
    <x v="2"/>
    <s v="No"/>
    <n v="38"/>
    <n v="165132"/>
    <n v="3"/>
    <n v="4"/>
    <n v="7"/>
    <n v="11"/>
    <n v="3"/>
    <n v="1"/>
    <n v="4"/>
    <n v="29"/>
    <x v="0"/>
    <m/>
  </r>
  <r>
    <x v="0"/>
    <s v="Travel_Frequently"/>
    <x v="1"/>
    <s v="Current Employees"/>
    <x v="4"/>
    <x v="3"/>
    <s v="STAFF-700"/>
    <n v="700"/>
    <x v="1"/>
    <x v="0"/>
    <x v="1"/>
    <s v="No"/>
    <n v="55"/>
    <n v="65882"/>
    <n v="2"/>
    <n v="1"/>
    <n v="14"/>
    <n v="13"/>
    <n v="2"/>
    <n v="3"/>
    <n v="4"/>
    <n v="25"/>
    <x v="0"/>
    <m/>
  </r>
  <r>
    <x v="0"/>
    <s v="Travel_Rarely"/>
    <x v="2"/>
    <s v="Current Employees"/>
    <x v="2"/>
    <x v="1"/>
    <s v="STAFF-701"/>
    <n v="701"/>
    <x v="0"/>
    <x v="1"/>
    <x v="2"/>
    <s v="Yes"/>
    <n v="46"/>
    <n v="63030"/>
    <n v="2"/>
    <n v="2"/>
    <n v="20"/>
    <n v="33"/>
    <n v="3"/>
    <n v="4"/>
    <n v="4"/>
    <n v="8"/>
    <x v="3"/>
    <m/>
  </r>
  <r>
    <x v="0"/>
    <s v="Travel_Frequently"/>
    <x v="4"/>
    <s v="Current Employees"/>
    <x v="0"/>
    <x v="0"/>
    <s v="STAFF-702"/>
    <n v="702"/>
    <x v="1"/>
    <x v="1"/>
    <x v="0"/>
    <s v="No"/>
    <n v="41"/>
    <n v="135888"/>
    <n v="3"/>
    <n v="4"/>
    <n v="36"/>
    <n v="25"/>
    <n v="6"/>
    <n v="4"/>
    <n v="3"/>
    <n v="25"/>
    <x v="2"/>
    <m/>
  </r>
  <r>
    <x v="0"/>
    <s v="Travel_Rarely"/>
    <x v="1"/>
    <s v="Current Employees"/>
    <x v="5"/>
    <x v="5"/>
    <s v="STAFF-703"/>
    <n v="703"/>
    <x v="1"/>
    <x v="5"/>
    <x v="0"/>
    <s v="Yes"/>
    <n v="34"/>
    <n v="85090"/>
    <n v="3"/>
    <n v="3"/>
    <n v="1"/>
    <n v="20"/>
    <n v="3"/>
    <n v="4"/>
    <n v="4"/>
    <n v="18"/>
    <x v="0"/>
    <m/>
  </r>
  <r>
    <x v="0"/>
    <s v="Non-Travel"/>
    <x v="4"/>
    <s v="Current Employees"/>
    <x v="2"/>
    <x v="5"/>
    <s v="STAFF-704"/>
    <n v="704"/>
    <x v="1"/>
    <x v="0"/>
    <x v="2"/>
    <s v="Yes"/>
    <n v="31"/>
    <n v="103323"/>
    <n v="4"/>
    <n v="4"/>
    <n v="2"/>
    <n v="42"/>
    <n v="3"/>
    <n v="4"/>
    <n v="3"/>
    <n v="9"/>
    <x v="0"/>
    <m/>
  </r>
  <r>
    <x v="0"/>
    <s v="Non-Travel"/>
    <x v="0"/>
    <s v="Current Employees"/>
    <x v="4"/>
    <x v="2"/>
    <s v="STAFF-705"/>
    <n v="705"/>
    <x v="1"/>
    <x v="4"/>
    <x v="1"/>
    <s v="No"/>
    <n v="39"/>
    <n v="47106"/>
    <n v="4"/>
    <n v="2"/>
    <n v="4"/>
    <n v="20"/>
    <n v="6"/>
    <n v="4"/>
    <n v="3"/>
    <n v="28"/>
    <x v="4"/>
    <m/>
  </r>
  <r>
    <x v="0"/>
    <s v="Travel_Rarely"/>
    <x v="2"/>
    <s v="Current Employees"/>
    <x v="2"/>
    <x v="5"/>
    <s v="STAFF-706"/>
    <n v="706"/>
    <x v="0"/>
    <x v="1"/>
    <x v="0"/>
    <s v="No"/>
    <n v="56"/>
    <n v="157205"/>
    <n v="3"/>
    <n v="1"/>
    <n v="8"/>
    <n v="4"/>
    <n v="6"/>
    <n v="3"/>
    <n v="4"/>
    <n v="29"/>
    <x v="2"/>
    <m/>
  </r>
  <r>
    <x v="0"/>
    <s v="Travel_Frequently"/>
    <x v="1"/>
    <s v="Current Employees"/>
    <x v="0"/>
    <x v="0"/>
    <s v="STAFF-707"/>
    <n v="707"/>
    <x v="1"/>
    <x v="1"/>
    <x v="1"/>
    <s v="Yes"/>
    <n v="37"/>
    <n v="84940"/>
    <n v="1"/>
    <n v="2"/>
    <n v="7"/>
    <n v="41"/>
    <n v="3"/>
    <n v="4"/>
    <n v="4"/>
    <n v="26"/>
    <x v="2"/>
    <m/>
  </r>
  <r>
    <x v="0"/>
    <s v="Non-Travel"/>
    <x v="4"/>
    <s v="Current Employees"/>
    <x v="4"/>
    <x v="2"/>
    <s v="STAFF-708"/>
    <n v="708"/>
    <x v="0"/>
    <x v="2"/>
    <x v="1"/>
    <s v="Yes"/>
    <n v="53"/>
    <n v="103739"/>
    <n v="4"/>
    <n v="3"/>
    <n v="36"/>
    <n v="21"/>
    <n v="5"/>
    <n v="1"/>
    <n v="3"/>
    <n v="19"/>
    <x v="1"/>
    <m/>
  </r>
  <r>
    <x v="1"/>
    <s v="Travel_Rarely"/>
    <x v="4"/>
    <s v="Ex-Employees"/>
    <x v="2"/>
    <x v="1"/>
    <s v="STAFF-709"/>
    <n v="709"/>
    <x v="0"/>
    <x v="2"/>
    <x v="1"/>
    <s v="Yes"/>
    <n v="25"/>
    <n v="130970"/>
    <n v="3"/>
    <n v="4"/>
    <n v="28"/>
    <n v="9"/>
    <n v="5"/>
    <n v="3"/>
    <n v="3"/>
    <n v="6"/>
    <x v="0"/>
    <m/>
  </r>
  <r>
    <x v="0"/>
    <s v="Non-Travel"/>
    <x v="2"/>
    <s v="Current Employees"/>
    <x v="5"/>
    <x v="5"/>
    <s v="STAFF-710"/>
    <n v="710"/>
    <x v="0"/>
    <x v="7"/>
    <x v="0"/>
    <s v="No"/>
    <n v="21"/>
    <n v="120222"/>
    <n v="1"/>
    <n v="1"/>
    <n v="14"/>
    <n v="20"/>
    <n v="3"/>
    <n v="2"/>
    <n v="4"/>
    <n v="28"/>
    <x v="4"/>
    <m/>
  </r>
  <r>
    <x v="0"/>
    <s v="Travel_Frequently"/>
    <x v="4"/>
    <s v="Current Employees"/>
    <x v="2"/>
    <x v="3"/>
    <s v="STAFF-711"/>
    <n v="711"/>
    <x v="0"/>
    <x v="2"/>
    <x v="1"/>
    <s v="Yes"/>
    <n v="33"/>
    <n v="56871"/>
    <n v="2"/>
    <n v="3"/>
    <n v="11"/>
    <n v="6"/>
    <n v="0"/>
    <n v="1"/>
    <n v="3"/>
    <n v="18"/>
    <x v="3"/>
    <m/>
  </r>
  <r>
    <x v="1"/>
    <s v="Travel_Rarely"/>
    <x v="1"/>
    <s v="Ex-Employees"/>
    <x v="0"/>
    <x v="3"/>
    <s v="STAFF-712"/>
    <n v="712"/>
    <x v="0"/>
    <x v="3"/>
    <x v="1"/>
    <s v="Yes"/>
    <n v="48"/>
    <n v="89061"/>
    <n v="2"/>
    <n v="2"/>
    <n v="22"/>
    <n v="1"/>
    <n v="1"/>
    <n v="4"/>
    <n v="3"/>
    <n v="27"/>
    <x v="2"/>
    <m/>
  </r>
  <r>
    <x v="0"/>
    <s v="Travel_Rarely"/>
    <x v="4"/>
    <s v="Current Employees"/>
    <x v="5"/>
    <x v="5"/>
    <s v="STAFF-713"/>
    <n v="713"/>
    <x v="0"/>
    <x v="9"/>
    <x v="1"/>
    <s v="No"/>
    <n v="33"/>
    <n v="71905"/>
    <n v="4"/>
    <n v="1"/>
    <n v="5"/>
    <n v="11"/>
    <n v="4"/>
    <n v="1"/>
    <n v="3"/>
    <n v="25"/>
    <x v="4"/>
    <m/>
  </r>
  <r>
    <x v="0"/>
    <s v="Travel_Frequently"/>
    <x v="2"/>
    <s v="Current Employees"/>
    <x v="2"/>
    <x v="3"/>
    <s v="STAFF-714"/>
    <n v="714"/>
    <x v="1"/>
    <x v="7"/>
    <x v="2"/>
    <s v="Yes"/>
    <n v="26"/>
    <n v="150883"/>
    <n v="3"/>
    <n v="4"/>
    <n v="16"/>
    <n v="32"/>
    <n v="0"/>
    <n v="4"/>
    <n v="3"/>
    <n v="1"/>
    <x v="2"/>
    <m/>
  </r>
  <r>
    <x v="0"/>
    <s v="Travel_Frequently"/>
    <x v="1"/>
    <s v="Current Employees"/>
    <x v="4"/>
    <x v="2"/>
    <s v="STAFF-715"/>
    <n v="715"/>
    <x v="1"/>
    <x v="0"/>
    <x v="1"/>
    <s v="No"/>
    <n v="35"/>
    <n v="40138"/>
    <n v="4"/>
    <n v="4"/>
    <n v="1"/>
    <n v="17"/>
    <n v="5"/>
    <n v="3"/>
    <n v="3"/>
    <n v="5"/>
    <x v="4"/>
    <m/>
  </r>
  <r>
    <x v="0"/>
    <s v="Travel_Rarely"/>
    <x v="0"/>
    <s v="Current Employees"/>
    <x v="2"/>
    <x v="0"/>
    <s v="STAFF-716"/>
    <n v="716"/>
    <x v="1"/>
    <x v="5"/>
    <x v="2"/>
    <s v="Yes"/>
    <n v="39"/>
    <n v="115439"/>
    <n v="4"/>
    <n v="2"/>
    <n v="26"/>
    <n v="11"/>
    <n v="1"/>
    <n v="2"/>
    <n v="3"/>
    <n v="12"/>
    <x v="1"/>
    <m/>
  </r>
  <r>
    <x v="0"/>
    <s v="Travel_Frequently"/>
    <x v="0"/>
    <s v="Current Employees"/>
    <x v="3"/>
    <x v="5"/>
    <s v="STAFF-717"/>
    <n v="717"/>
    <x v="1"/>
    <x v="8"/>
    <x v="0"/>
    <s v="No"/>
    <n v="22"/>
    <n v="24771"/>
    <n v="3"/>
    <n v="1"/>
    <n v="30"/>
    <n v="2"/>
    <n v="5"/>
    <n v="2"/>
    <n v="4"/>
    <n v="2"/>
    <x v="0"/>
    <m/>
  </r>
  <r>
    <x v="0"/>
    <s v="Travel_Rarely"/>
    <x v="2"/>
    <s v="Current Employees"/>
    <x v="2"/>
    <x v="0"/>
    <s v="STAFF-718"/>
    <n v="718"/>
    <x v="0"/>
    <x v="5"/>
    <x v="1"/>
    <s v="Yes"/>
    <n v="26"/>
    <n v="128069"/>
    <n v="1"/>
    <n v="1"/>
    <n v="30"/>
    <n v="29"/>
    <n v="3"/>
    <n v="4"/>
    <n v="3"/>
    <n v="28"/>
    <x v="0"/>
    <m/>
  </r>
  <r>
    <x v="0"/>
    <s v="Travel_Frequently"/>
    <x v="0"/>
    <s v="Current Employees"/>
    <x v="1"/>
    <x v="2"/>
    <s v="STAFF-719"/>
    <n v="719"/>
    <x v="0"/>
    <x v="1"/>
    <x v="0"/>
    <s v="No"/>
    <n v="60"/>
    <n v="43270"/>
    <n v="4"/>
    <n v="4"/>
    <n v="36"/>
    <n v="12"/>
    <n v="1"/>
    <n v="2"/>
    <n v="3"/>
    <n v="26"/>
    <x v="4"/>
    <m/>
  </r>
  <r>
    <x v="0"/>
    <s v="Non-Travel"/>
    <x v="0"/>
    <s v="Current Employees"/>
    <x v="4"/>
    <x v="5"/>
    <s v="STAFF-720"/>
    <n v="720"/>
    <x v="1"/>
    <x v="2"/>
    <x v="2"/>
    <s v="Yes"/>
    <n v="35"/>
    <n v="83711"/>
    <n v="2"/>
    <n v="3"/>
    <n v="21"/>
    <n v="29"/>
    <n v="5"/>
    <n v="3"/>
    <n v="3"/>
    <n v="11"/>
    <x v="2"/>
    <m/>
  </r>
  <r>
    <x v="0"/>
    <s v="Travel_Rarely"/>
    <x v="1"/>
    <s v="Current Employees"/>
    <x v="5"/>
    <x v="3"/>
    <s v="STAFF-721"/>
    <n v="721"/>
    <x v="1"/>
    <x v="5"/>
    <x v="2"/>
    <s v="Yes"/>
    <n v="21"/>
    <n v="55474"/>
    <n v="1"/>
    <n v="2"/>
    <n v="10"/>
    <n v="25"/>
    <n v="2"/>
    <n v="1"/>
    <n v="4"/>
    <n v="16"/>
    <x v="3"/>
    <m/>
  </r>
  <r>
    <x v="0"/>
    <s v="Travel_Frequently"/>
    <x v="4"/>
    <s v="Current Employees"/>
    <x v="2"/>
    <x v="5"/>
    <s v="STAFF-722"/>
    <n v="722"/>
    <x v="0"/>
    <x v="9"/>
    <x v="0"/>
    <s v="No"/>
    <n v="55"/>
    <n v="133307"/>
    <n v="1"/>
    <n v="3"/>
    <n v="32"/>
    <n v="21"/>
    <n v="2"/>
    <n v="2"/>
    <n v="4"/>
    <n v="11"/>
    <x v="2"/>
    <m/>
  </r>
  <r>
    <x v="0"/>
    <s v="Non-Travel"/>
    <x v="2"/>
    <s v="Current Employees"/>
    <x v="4"/>
    <x v="2"/>
    <s v="STAFF-723"/>
    <n v="723"/>
    <x v="1"/>
    <x v="0"/>
    <x v="1"/>
    <s v="No"/>
    <n v="22"/>
    <n v="160427"/>
    <n v="2"/>
    <n v="1"/>
    <n v="14"/>
    <n v="29"/>
    <n v="6"/>
    <n v="1"/>
    <n v="3"/>
    <n v="18"/>
    <x v="3"/>
    <m/>
  </r>
  <r>
    <x v="0"/>
    <s v="Travel_Frequently"/>
    <x v="1"/>
    <s v="Current Employees"/>
    <x v="1"/>
    <x v="1"/>
    <s v="STAFF-724"/>
    <n v="724"/>
    <x v="0"/>
    <x v="4"/>
    <x v="2"/>
    <s v="No"/>
    <n v="53"/>
    <n v="69086"/>
    <n v="2"/>
    <n v="2"/>
    <n v="1"/>
    <n v="12"/>
    <n v="5"/>
    <n v="3"/>
    <n v="3"/>
    <n v="19"/>
    <x v="0"/>
    <m/>
  </r>
  <r>
    <x v="0"/>
    <s v="Non-Travel"/>
    <x v="4"/>
    <s v="Current Employees"/>
    <x v="0"/>
    <x v="0"/>
    <s v="STAFF-725"/>
    <n v="725"/>
    <x v="0"/>
    <x v="1"/>
    <x v="2"/>
    <s v="Yes"/>
    <n v="31"/>
    <n v="77312"/>
    <n v="2"/>
    <n v="4"/>
    <n v="12"/>
    <n v="17"/>
    <n v="0"/>
    <n v="4"/>
    <n v="4"/>
    <n v="13"/>
    <x v="0"/>
    <m/>
  </r>
  <r>
    <x v="1"/>
    <s v="Travel_Frequently"/>
    <x v="4"/>
    <s v="Ex-Employees"/>
    <x v="1"/>
    <x v="0"/>
    <s v="STAFF-726"/>
    <n v="726"/>
    <x v="1"/>
    <x v="5"/>
    <x v="2"/>
    <s v="No"/>
    <n v="56"/>
    <n v="99685"/>
    <n v="2"/>
    <n v="1"/>
    <n v="3"/>
    <n v="26"/>
    <n v="1"/>
    <n v="2"/>
    <n v="4"/>
    <n v="27"/>
    <x v="4"/>
    <m/>
  </r>
  <r>
    <x v="0"/>
    <s v="Travel_Frequently"/>
    <x v="4"/>
    <s v="Current Employees"/>
    <x v="3"/>
    <x v="0"/>
    <s v="STAFF-727"/>
    <n v="727"/>
    <x v="1"/>
    <x v="7"/>
    <x v="0"/>
    <s v="Yes"/>
    <n v="36"/>
    <n v="109857"/>
    <n v="1"/>
    <n v="2"/>
    <n v="17"/>
    <n v="8"/>
    <n v="3"/>
    <n v="1"/>
    <n v="3"/>
    <n v="7"/>
    <x v="2"/>
    <m/>
  </r>
  <r>
    <x v="0"/>
    <s v="Travel_Rarely"/>
    <x v="1"/>
    <s v="Current Employees"/>
    <x v="0"/>
    <x v="3"/>
    <s v="STAFF-728"/>
    <n v="728"/>
    <x v="0"/>
    <x v="4"/>
    <x v="1"/>
    <s v="Yes"/>
    <n v="59"/>
    <n v="141498"/>
    <n v="2"/>
    <n v="4"/>
    <n v="19"/>
    <n v="7"/>
    <n v="4"/>
    <n v="4"/>
    <n v="3"/>
    <n v="3"/>
    <x v="3"/>
    <m/>
  </r>
  <r>
    <x v="1"/>
    <s v="Travel_Frequently"/>
    <x v="4"/>
    <s v="Ex-Employees"/>
    <x v="4"/>
    <x v="2"/>
    <s v="STAFF-729"/>
    <n v="729"/>
    <x v="0"/>
    <x v="9"/>
    <x v="1"/>
    <s v="Yes"/>
    <n v="52"/>
    <n v="94311"/>
    <n v="2"/>
    <n v="1"/>
    <n v="5"/>
    <n v="38"/>
    <n v="4"/>
    <n v="3"/>
    <n v="3"/>
    <n v="28"/>
    <x v="2"/>
    <m/>
  </r>
  <r>
    <x v="0"/>
    <s v="Travel_Rarely"/>
    <x v="3"/>
    <s v="Current Employees"/>
    <x v="1"/>
    <x v="3"/>
    <s v="STAFF-730"/>
    <n v="730"/>
    <x v="0"/>
    <x v="8"/>
    <x v="0"/>
    <s v="No"/>
    <n v="37"/>
    <n v="151122"/>
    <n v="3"/>
    <n v="4"/>
    <n v="16"/>
    <n v="22"/>
    <n v="0"/>
    <n v="1"/>
    <n v="3"/>
    <n v="23"/>
    <x v="2"/>
    <m/>
  </r>
  <r>
    <x v="0"/>
    <s v="Travel_Frequently"/>
    <x v="2"/>
    <s v="Current Employees"/>
    <x v="2"/>
    <x v="3"/>
    <s v="STAFF-731"/>
    <n v="731"/>
    <x v="1"/>
    <x v="0"/>
    <x v="0"/>
    <s v="No"/>
    <n v="56"/>
    <n v="177027"/>
    <n v="4"/>
    <n v="4"/>
    <n v="2"/>
    <n v="38"/>
    <n v="0"/>
    <n v="1"/>
    <n v="3"/>
    <n v="4"/>
    <x v="4"/>
    <m/>
  </r>
  <r>
    <x v="0"/>
    <s v="Travel_Frequently"/>
    <x v="2"/>
    <s v="Current Employees"/>
    <x v="2"/>
    <x v="5"/>
    <s v="STAFF-732"/>
    <n v="732"/>
    <x v="0"/>
    <x v="1"/>
    <x v="0"/>
    <s v="No"/>
    <n v="50"/>
    <n v="168298"/>
    <n v="1"/>
    <n v="4"/>
    <n v="40"/>
    <n v="27"/>
    <n v="5"/>
    <n v="1"/>
    <n v="3"/>
    <n v="19"/>
    <x v="4"/>
    <m/>
  </r>
  <r>
    <x v="0"/>
    <s v="Travel_Frequently"/>
    <x v="4"/>
    <s v="Current Employees"/>
    <x v="4"/>
    <x v="5"/>
    <s v="STAFF-733"/>
    <n v="733"/>
    <x v="0"/>
    <x v="9"/>
    <x v="1"/>
    <s v="No"/>
    <n v="43"/>
    <n v="110373"/>
    <n v="2"/>
    <n v="3"/>
    <n v="28"/>
    <n v="3"/>
    <n v="2"/>
    <n v="4"/>
    <n v="4"/>
    <n v="25"/>
    <x v="4"/>
    <m/>
  </r>
  <r>
    <x v="0"/>
    <s v="Non-Travel"/>
    <x v="4"/>
    <s v="Current Employees"/>
    <x v="2"/>
    <x v="2"/>
    <s v="STAFF-734"/>
    <n v="734"/>
    <x v="1"/>
    <x v="1"/>
    <x v="2"/>
    <s v="No"/>
    <n v="26"/>
    <n v="105494"/>
    <n v="3"/>
    <n v="2"/>
    <n v="20"/>
    <n v="19"/>
    <n v="0"/>
    <n v="1"/>
    <n v="4"/>
    <n v="11"/>
    <x v="0"/>
    <m/>
  </r>
  <r>
    <x v="0"/>
    <s v="Travel_Rarely"/>
    <x v="1"/>
    <s v="Current Employees"/>
    <x v="1"/>
    <x v="2"/>
    <s v="STAFF-735"/>
    <n v="735"/>
    <x v="1"/>
    <x v="1"/>
    <x v="1"/>
    <s v="No"/>
    <n v="44"/>
    <n v="59737"/>
    <n v="2"/>
    <n v="3"/>
    <n v="1"/>
    <n v="7"/>
    <n v="1"/>
    <n v="3"/>
    <n v="4"/>
    <n v="25"/>
    <x v="0"/>
    <m/>
  </r>
  <r>
    <x v="0"/>
    <s v="Travel_Rarely"/>
    <x v="1"/>
    <s v="Current Employees"/>
    <x v="5"/>
    <x v="0"/>
    <s v="STAFF-736"/>
    <n v="736"/>
    <x v="0"/>
    <x v="0"/>
    <x v="0"/>
    <s v="No"/>
    <n v="37"/>
    <n v="56211"/>
    <n v="3"/>
    <n v="3"/>
    <n v="25"/>
    <n v="8"/>
    <n v="3"/>
    <n v="1"/>
    <n v="4"/>
    <n v="20"/>
    <x v="0"/>
    <m/>
  </r>
  <r>
    <x v="1"/>
    <s v="Travel_Frequently"/>
    <x v="1"/>
    <s v="Ex-Employees"/>
    <x v="3"/>
    <x v="4"/>
    <s v="STAFF-737"/>
    <n v="737"/>
    <x v="0"/>
    <x v="4"/>
    <x v="2"/>
    <s v="No"/>
    <n v="22"/>
    <n v="147628"/>
    <n v="2"/>
    <n v="2"/>
    <n v="15"/>
    <n v="14"/>
    <n v="3"/>
    <n v="2"/>
    <n v="3"/>
    <n v="1"/>
    <x v="3"/>
    <m/>
  </r>
  <r>
    <x v="0"/>
    <s v="Travel_Frequently"/>
    <x v="0"/>
    <s v="Current Employees"/>
    <x v="2"/>
    <x v="5"/>
    <s v="STAFF-738"/>
    <n v="738"/>
    <x v="1"/>
    <x v="4"/>
    <x v="0"/>
    <s v="Yes"/>
    <n v="47"/>
    <n v="66773"/>
    <n v="4"/>
    <n v="4"/>
    <n v="16"/>
    <n v="23"/>
    <n v="6"/>
    <n v="3"/>
    <n v="4"/>
    <n v="12"/>
    <x v="3"/>
    <m/>
  </r>
  <r>
    <x v="1"/>
    <s v="Non-Travel"/>
    <x v="4"/>
    <s v="Ex-Employees"/>
    <x v="0"/>
    <x v="2"/>
    <s v="STAFF-739"/>
    <n v="739"/>
    <x v="0"/>
    <x v="6"/>
    <x v="1"/>
    <s v="Yes"/>
    <n v="55"/>
    <n v="169770"/>
    <n v="2"/>
    <n v="1"/>
    <n v="32"/>
    <n v="30"/>
    <n v="4"/>
    <n v="3"/>
    <n v="3"/>
    <n v="26"/>
    <x v="0"/>
    <m/>
  </r>
  <r>
    <x v="0"/>
    <s v="Non-Travel"/>
    <x v="1"/>
    <s v="Current Employees"/>
    <x v="5"/>
    <x v="1"/>
    <s v="STAFF-740"/>
    <n v="740"/>
    <x v="0"/>
    <x v="9"/>
    <x v="1"/>
    <s v="Yes"/>
    <n v="50"/>
    <n v="132785"/>
    <n v="4"/>
    <n v="4"/>
    <n v="4"/>
    <n v="10"/>
    <n v="0"/>
    <n v="4"/>
    <n v="3"/>
    <n v="29"/>
    <x v="3"/>
    <m/>
  </r>
  <r>
    <x v="0"/>
    <s v="Non-Travel"/>
    <x v="2"/>
    <s v="Current Employees"/>
    <x v="4"/>
    <x v="2"/>
    <s v="STAFF-741"/>
    <n v="741"/>
    <x v="0"/>
    <x v="8"/>
    <x v="0"/>
    <s v="No"/>
    <n v="22"/>
    <n v="174693"/>
    <n v="4"/>
    <n v="4"/>
    <n v="8"/>
    <n v="25"/>
    <n v="1"/>
    <n v="4"/>
    <n v="4"/>
    <n v="18"/>
    <x v="3"/>
    <m/>
  </r>
  <r>
    <x v="0"/>
    <s v="Travel_Frequently"/>
    <x v="2"/>
    <s v="Current Employees"/>
    <x v="2"/>
    <x v="0"/>
    <s v="STAFF-742"/>
    <n v="742"/>
    <x v="1"/>
    <x v="5"/>
    <x v="0"/>
    <s v="Yes"/>
    <n v="43"/>
    <n v="171995"/>
    <n v="1"/>
    <n v="1"/>
    <n v="39"/>
    <n v="4"/>
    <n v="4"/>
    <n v="4"/>
    <n v="3"/>
    <n v="24"/>
    <x v="4"/>
    <m/>
  </r>
  <r>
    <x v="0"/>
    <s v="Travel_Rarely"/>
    <x v="2"/>
    <s v="Current Employees"/>
    <x v="3"/>
    <x v="4"/>
    <s v="STAFF-743"/>
    <n v="743"/>
    <x v="1"/>
    <x v="0"/>
    <x v="1"/>
    <s v="Yes"/>
    <n v="27"/>
    <n v="123789"/>
    <n v="4"/>
    <n v="4"/>
    <n v="24"/>
    <n v="30"/>
    <n v="1"/>
    <n v="3"/>
    <n v="3"/>
    <n v="4"/>
    <x v="3"/>
    <m/>
  </r>
  <r>
    <x v="0"/>
    <s v="Travel_Frequently"/>
    <x v="2"/>
    <s v="Current Employees"/>
    <x v="0"/>
    <x v="4"/>
    <s v="STAFF-744"/>
    <n v="744"/>
    <x v="0"/>
    <x v="8"/>
    <x v="1"/>
    <s v="Yes"/>
    <n v="35"/>
    <n v="110065"/>
    <n v="1"/>
    <n v="3"/>
    <n v="28"/>
    <n v="6"/>
    <n v="4"/>
    <n v="3"/>
    <n v="3"/>
    <n v="29"/>
    <x v="0"/>
    <m/>
  </r>
  <r>
    <x v="0"/>
    <s v="Travel_Frequently"/>
    <x v="2"/>
    <s v="Current Employees"/>
    <x v="5"/>
    <x v="4"/>
    <s v="STAFF-745"/>
    <n v="745"/>
    <x v="0"/>
    <x v="5"/>
    <x v="0"/>
    <s v="Yes"/>
    <n v="21"/>
    <n v="103684"/>
    <n v="4"/>
    <n v="3"/>
    <n v="1"/>
    <n v="36"/>
    <n v="4"/>
    <n v="3"/>
    <n v="3"/>
    <n v="6"/>
    <x v="4"/>
    <m/>
  </r>
  <r>
    <x v="0"/>
    <s v="Travel_Rarely"/>
    <x v="2"/>
    <s v="Current Employees"/>
    <x v="2"/>
    <x v="2"/>
    <s v="STAFF-746"/>
    <n v="746"/>
    <x v="0"/>
    <x v="6"/>
    <x v="0"/>
    <s v="No"/>
    <n v="57"/>
    <n v="64380"/>
    <n v="4"/>
    <n v="2"/>
    <n v="32"/>
    <n v="9"/>
    <n v="6"/>
    <n v="4"/>
    <n v="3"/>
    <n v="20"/>
    <x v="1"/>
    <m/>
  </r>
  <r>
    <x v="1"/>
    <s v="Travel_Frequently"/>
    <x v="4"/>
    <s v="Ex-Employees"/>
    <x v="4"/>
    <x v="2"/>
    <s v="STAFF-747"/>
    <n v="747"/>
    <x v="0"/>
    <x v="1"/>
    <x v="0"/>
    <s v="Yes"/>
    <n v="58"/>
    <n v="153918"/>
    <n v="2"/>
    <n v="1"/>
    <n v="31"/>
    <n v="12"/>
    <n v="4"/>
    <n v="2"/>
    <n v="4"/>
    <n v="15"/>
    <x v="0"/>
    <m/>
  </r>
  <r>
    <x v="0"/>
    <s v="Non-Travel"/>
    <x v="4"/>
    <s v="Current Employees"/>
    <x v="4"/>
    <x v="1"/>
    <s v="STAFF-748"/>
    <n v="748"/>
    <x v="0"/>
    <x v="1"/>
    <x v="2"/>
    <s v="No"/>
    <n v="30"/>
    <n v="80770"/>
    <n v="4"/>
    <n v="2"/>
    <n v="25"/>
    <n v="2"/>
    <n v="2"/>
    <n v="1"/>
    <n v="4"/>
    <n v="26"/>
    <x v="0"/>
    <m/>
  </r>
  <r>
    <x v="0"/>
    <s v="Non-Travel"/>
    <x v="2"/>
    <s v="Current Employees"/>
    <x v="5"/>
    <x v="2"/>
    <s v="STAFF-749"/>
    <n v="749"/>
    <x v="1"/>
    <x v="4"/>
    <x v="0"/>
    <s v="Yes"/>
    <n v="39"/>
    <n v="101969"/>
    <n v="2"/>
    <n v="4"/>
    <n v="12"/>
    <n v="18"/>
    <n v="5"/>
    <n v="4"/>
    <n v="4"/>
    <n v="14"/>
    <x v="2"/>
    <m/>
  </r>
  <r>
    <x v="0"/>
    <s v="Travel_Frequently"/>
    <x v="0"/>
    <s v="Current Employees"/>
    <x v="4"/>
    <x v="1"/>
    <s v="STAFF-750"/>
    <n v="750"/>
    <x v="1"/>
    <x v="2"/>
    <x v="1"/>
    <s v="No"/>
    <n v="52"/>
    <n v="93286"/>
    <n v="1"/>
    <n v="1"/>
    <n v="12"/>
    <n v="5"/>
    <n v="2"/>
    <n v="2"/>
    <n v="4"/>
    <n v="24"/>
    <x v="1"/>
    <m/>
  </r>
  <r>
    <x v="0"/>
    <s v="Travel_Frequently"/>
    <x v="0"/>
    <s v="Current Employees"/>
    <x v="0"/>
    <x v="0"/>
    <s v="STAFF-751"/>
    <n v="751"/>
    <x v="1"/>
    <x v="4"/>
    <x v="2"/>
    <s v="No"/>
    <n v="53"/>
    <n v="155359"/>
    <n v="2"/>
    <n v="3"/>
    <n v="2"/>
    <n v="13"/>
    <n v="0"/>
    <n v="4"/>
    <n v="3"/>
    <n v="29"/>
    <x v="4"/>
    <m/>
  </r>
  <r>
    <x v="0"/>
    <s v="Travel_Frequently"/>
    <x v="0"/>
    <s v="Current Employees"/>
    <x v="3"/>
    <x v="0"/>
    <s v="STAFF-752"/>
    <n v="752"/>
    <x v="0"/>
    <x v="5"/>
    <x v="1"/>
    <s v="Yes"/>
    <n v="28"/>
    <n v="94137"/>
    <n v="1"/>
    <n v="2"/>
    <n v="21"/>
    <n v="11"/>
    <n v="3"/>
    <n v="2"/>
    <n v="4"/>
    <n v="30"/>
    <x v="2"/>
    <m/>
  </r>
  <r>
    <x v="0"/>
    <s v="Non-Travel"/>
    <x v="1"/>
    <s v="Current Employees"/>
    <x v="3"/>
    <x v="3"/>
    <s v="STAFF-753"/>
    <n v="753"/>
    <x v="1"/>
    <x v="7"/>
    <x v="0"/>
    <s v="No"/>
    <n v="34"/>
    <n v="89464"/>
    <n v="4"/>
    <n v="1"/>
    <n v="26"/>
    <n v="26"/>
    <n v="3"/>
    <n v="3"/>
    <n v="3"/>
    <n v="27"/>
    <x v="2"/>
    <m/>
  </r>
  <r>
    <x v="0"/>
    <s v="Travel_Frequently"/>
    <x v="0"/>
    <s v="Current Employees"/>
    <x v="5"/>
    <x v="4"/>
    <s v="STAFF-754"/>
    <n v="754"/>
    <x v="1"/>
    <x v="6"/>
    <x v="0"/>
    <s v="Yes"/>
    <n v="25"/>
    <n v="47984"/>
    <n v="1"/>
    <n v="2"/>
    <n v="31"/>
    <n v="4"/>
    <n v="1"/>
    <n v="3"/>
    <n v="3"/>
    <n v="24"/>
    <x v="3"/>
    <m/>
  </r>
  <r>
    <x v="1"/>
    <s v="Travel_Frequently"/>
    <x v="2"/>
    <s v="Ex-Employees"/>
    <x v="5"/>
    <x v="2"/>
    <s v="STAFF-755"/>
    <n v="755"/>
    <x v="1"/>
    <x v="8"/>
    <x v="0"/>
    <s v="No"/>
    <n v="27"/>
    <n v="49300"/>
    <n v="4"/>
    <n v="2"/>
    <n v="5"/>
    <n v="35"/>
    <n v="6"/>
    <n v="4"/>
    <n v="3"/>
    <n v="5"/>
    <x v="0"/>
    <m/>
  </r>
  <r>
    <x v="1"/>
    <s v="Travel_Rarely"/>
    <x v="2"/>
    <s v="Ex-Employees"/>
    <x v="4"/>
    <x v="0"/>
    <s v="STAFF-756"/>
    <n v="756"/>
    <x v="0"/>
    <x v="7"/>
    <x v="2"/>
    <s v="Yes"/>
    <n v="25"/>
    <n v="81373"/>
    <n v="4"/>
    <n v="3"/>
    <n v="28"/>
    <n v="9"/>
    <n v="3"/>
    <n v="1"/>
    <n v="3"/>
    <n v="25"/>
    <x v="4"/>
    <m/>
  </r>
  <r>
    <x v="0"/>
    <s v="Travel_Rarely"/>
    <x v="0"/>
    <s v="Current Employees"/>
    <x v="4"/>
    <x v="2"/>
    <s v="STAFF-757"/>
    <n v="757"/>
    <x v="1"/>
    <x v="6"/>
    <x v="1"/>
    <s v="No"/>
    <n v="33"/>
    <n v="32792"/>
    <n v="4"/>
    <n v="4"/>
    <n v="9"/>
    <n v="18"/>
    <n v="4"/>
    <n v="1"/>
    <n v="3"/>
    <n v="6"/>
    <x v="4"/>
    <m/>
  </r>
  <r>
    <x v="0"/>
    <s v="Travel_Frequently"/>
    <x v="2"/>
    <s v="Current Employees"/>
    <x v="4"/>
    <x v="4"/>
    <s v="STAFF-758"/>
    <n v="758"/>
    <x v="0"/>
    <x v="2"/>
    <x v="0"/>
    <s v="No"/>
    <n v="56"/>
    <n v="60230"/>
    <n v="2"/>
    <n v="3"/>
    <n v="3"/>
    <n v="7"/>
    <n v="5"/>
    <n v="1"/>
    <n v="4"/>
    <n v="17"/>
    <x v="0"/>
    <m/>
  </r>
  <r>
    <x v="0"/>
    <s v="Travel_Frequently"/>
    <x v="2"/>
    <s v="Current Employees"/>
    <x v="5"/>
    <x v="2"/>
    <s v="STAFF-759"/>
    <n v="759"/>
    <x v="0"/>
    <x v="6"/>
    <x v="2"/>
    <s v="Yes"/>
    <n v="21"/>
    <n v="117932"/>
    <n v="1"/>
    <n v="1"/>
    <n v="24"/>
    <n v="36"/>
    <n v="0"/>
    <n v="2"/>
    <n v="3"/>
    <n v="19"/>
    <x v="0"/>
    <m/>
  </r>
  <r>
    <x v="0"/>
    <s v="Non-Travel"/>
    <x v="2"/>
    <s v="Current Employees"/>
    <x v="1"/>
    <x v="3"/>
    <s v="STAFF-760"/>
    <n v="760"/>
    <x v="1"/>
    <x v="8"/>
    <x v="0"/>
    <s v="No"/>
    <n v="49"/>
    <n v="80303"/>
    <n v="4"/>
    <n v="3"/>
    <n v="22"/>
    <n v="40"/>
    <n v="3"/>
    <n v="4"/>
    <n v="3"/>
    <n v="15"/>
    <x v="0"/>
    <m/>
  </r>
  <r>
    <x v="1"/>
    <s v="Non-Travel"/>
    <x v="1"/>
    <s v="Ex-Employees"/>
    <x v="0"/>
    <x v="3"/>
    <s v="STAFF-761"/>
    <n v="761"/>
    <x v="0"/>
    <x v="7"/>
    <x v="1"/>
    <s v="Yes"/>
    <n v="44"/>
    <n v="23488"/>
    <n v="4"/>
    <n v="3"/>
    <n v="9"/>
    <n v="2"/>
    <n v="3"/>
    <n v="4"/>
    <n v="3"/>
    <n v="13"/>
    <x v="4"/>
    <m/>
  </r>
  <r>
    <x v="1"/>
    <s v="Travel_Frequently"/>
    <x v="1"/>
    <s v="Ex-Employees"/>
    <x v="1"/>
    <x v="5"/>
    <s v="STAFF-762"/>
    <n v="762"/>
    <x v="1"/>
    <x v="9"/>
    <x v="1"/>
    <s v="No"/>
    <n v="50"/>
    <n v="113305"/>
    <n v="3"/>
    <n v="3"/>
    <n v="25"/>
    <n v="8"/>
    <n v="5"/>
    <n v="2"/>
    <n v="3"/>
    <n v="7"/>
    <x v="4"/>
    <m/>
  </r>
  <r>
    <x v="0"/>
    <s v="Non-Travel"/>
    <x v="4"/>
    <s v="Current Employees"/>
    <x v="5"/>
    <x v="1"/>
    <s v="STAFF-763"/>
    <n v="763"/>
    <x v="1"/>
    <x v="9"/>
    <x v="0"/>
    <s v="No"/>
    <n v="44"/>
    <n v="98451"/>
    <n v="2"/>
    <n v="4"/>
    <n v="9"/>
    <n v="30"/>
    <n v="0"/>
    <n v="4"/>
    <n v="4"/>
    <n v="29"/>
    <x v="0"/>
    <m/>
  </r>
  <r>
    <x v="0"/>
    <s v="Non-Travel"/>
    <x v="1"/>
    <s v="Current Employees"/>
    <x v="0"/>
    <x v="0"/>
    <s v="STAFF-764"/>
    <n v="764"/>
    <x v="1"/>
    <x v="4"/>
    <x v="1"/>
    <s v="Yes"/>
    <n v="49"/>
    <n v="24248"/>
    <n v="2"/>
    <n v="4"/>
    <n v="36"/>
    <n v="42"/>
    <n v="1"/>
    <n v="3"/>
    <n v="3"/>
    <n v="21"/>
    <x v="2"/>
    <m/>
  </r>
  <r>
    <x v="0"/>
    <s v="Travel_Frequently"/>
    <x v="4"/>
    <s v="Current Employees"/>
    <x v="3"/>
    <x v="2"/>
    <s v="STAFF-765"/>
    <n v="765"/>
    <x v="1"/>
    <x v="3"/>
    <x v="0"/>
    <s v="Yes"/>
    <n v="52"/>
    <n v="100893"/>
    <n v="1"/>
    <n v="1"/>
    <n v="4"/>
    <n v="5"/>
    <n v="0"/>
    <n v="1"/>
    <n v="3"/>
    <n v="11"/>
    <x v="1"/>
    <m/>
  </r>
  <r>
    <x v="0"/>
    <s v="Non-Travel"/>
    <x v="4"/>
    <s v="Current Employees"/>
    <x v="3"/>
    <x v="0"/>
    <s v="STAFF-766"/>
    <n v="766"/>
    <x v="0"/>
    <x v="8"/>
    <x v="2"/>
    <s v="No"/>
    <n v="60"/>
    <n v="100706"/>
    <n v="4"/>
    <n v="4"/>
    <n v="21"/>
    <n v="11"/>
    <n v="2"/>
    <n v="3"/>
    <n v="3"/>
    <n v="26"/>
    <x v="0"/>
    <m/>
  </r>
  <r>
    <x v="0"/>
    <s v="Travel_Frequently"/>
    <x v="4"/>
    <s v="Current Employees"/>
    <x v="3"/>
    <x v="4"/>
    <s v="STAFF-767"/>
    <n v="767"/>
    <x v="1"/>
    <x v="6"/>
    <x v="0"/>
    <s v="No"/>
    <n v="38"/>
    <n v="83376"/>
    <n v="1"/>
    <n v="2"/>
    <n v="28"/>
    <n v="6"/>
    <n v="6"/>
    <n v="1"/>
    <n v="3"/>
    <n v="29"/>
    <x v="2"/>
    <m/>
  </r>
  <r>
    <x v="0"/>
    <s v="Non-Travel"/>
    <x v="2"/>
    <s v="Current Employees"/>
    <x v="4"/>
    <x v="3"/>
    <s v="STAFF-768"/>
    <n v="768"/>
    <x v="1"/>
    <x v="9"/>
    <x v="0"/>
    <s v="Yes"/>
    <n v="49"/>
    <n v="23205"/>
    <n v="4"/>
    <n v="3"/>
    <n v="21"/>
    <n v="5"/>
    <n v="2"/>
    <n v="1"/>
    <n v="3"/>
    <n v="5"/>
    <x v="0"/>
    <m/>
  </r>
  <r>
    <x v="0"/>
    <s v="Travel_Rarely"/>
    <x v="1"/>
    <s v="Current Employees"/>
    <x v="3"/>
    <x v="3"/>
    <s v="STAFF-769"/>
    <n v="769"/>
    <x v="0"/>
    <x v="1"/>
    <x v="1"/>
    <s v="Yes"/>
    <n v="43"/>
    <n v="176023"/>
    <n v="4"/>
    <n v="1"/>
    <n v="39"/>
    <n v="37"/>
    <n v="3"/>
    <n v="2"/>
    <n v="4"/>
    <n v="28"/>
    <x v="3"/>
    <m/>
  </r>
  <r>
    <x v="0"/>
    <s v="Travel_Rarely"/>
    <x v="1"/>
    <s v="Current Employees"/>
    <x v="2"/>
    <x v="5"/>
    <s v="STAFF-770"/>
    <n v="770"/>
    <x v="1"/>
    <x v="6"/>
    <x v="2"/>
    <s v="Yes"/>
    <n v="40"/>
    <n v="86973"/>
    <n v="4"/>
    <n v="4"/>
    <n v="21"/>
    <n v="2"/>
    <n v="2"/>
    <n v="4"/>
    <n v="3"/>
    <n v="11"/>
    <x v="0"/>
    <m/>
  </r>
  <r>
    <x v="0"/>
    <s v="Travel_Rarely"/>
    <x v="4"/>
    <s v="Current Employees"/>
    <x v="2"/>
    <x v="3"/>
    <s v="STAFF-771"/>
    <n v="771"/>
    <x v="0"/>
    <x v="8"/>
    <x v="1"/>
    <s v="Yes"/>
    <n v="51"/>
    <n v="117619"/>
    <n v="4"/>
    <n v="1"/>
    <n v="17"/>
    <n v="24"/>
    <n v="2"/>
    <n v="3"/>
    <n v="4"/>
    <n v="14"/>
    <x v="3"/>
    <m/>
  </r>
  <r>
    <x v="0"/>
    <s v="Non-Travel"/>
    <x v="1"/>
    <s v="Current Employees"/>
    <x v="0"/>
    <x v="0"/>
    <s v="STAFF-772"/>
    <n v="772"/>
    <x v="1"/>
    <x v="8"/>
    <x v="1"/>
    <s v="Yes"/>
    <n v="49"/>
    <n v="40228"/>
    <n v="3"/>
    <n v="1"/>
    <n v="1"/>
    <n v="8"/>
    <n v="6"/>
    <n v="1"/>
    <n v="3"/>
    <n v="3"/>
    <x v="4"/>
    <m/>
  </r>
  <r>
    <x v="0"/>
    <s v="Travel_Rarely"/>
    <x v="1"/>
    <s v="Current Employees"/>
    <x v="3"/>
    <x v="4"/>
    <s v="STAFF-773"/>
    <n v="773"/>
    <x v="0"/>
    <x v="5"/>
    <x v="0"/>
    <s v="No"/>
    <n v="60"/>
    <n v="36450"/>
    <n v="2"/>
    <n v="4"/>
    <n v="40"/>
    <n v="21"/>
    <n v="6"/>
    <n v="1"/>
    <n v="3"/>
    <n v="2"/>
    <x v="4"/>
    <m/>
  </r>
  <r>
    <x v="0"/>
    <s v="Travel_Rarely"/>
    <x v="2"/>
    <s v="Current Employees"/>
    <x v="4"/>
    <x v="4"/>
    <s v="STAFF-774"/>
    <n v="774"/>
    <x v="0"/>
    <x v="5"/>
    <x v="1"/>
    <s v="Yes"/>
    <n v="34"/>
    <n v="31106"/>
    <n v="1"/>
    <n v="4"/>
    <n v="20"/>
    <n v="40"/>
    <n v="4"/>
    <n v="2"/>
    <n v="4"/>
    <n v="27"/>
    <x v="4"/>
    <m/>
  </r>
  <r>
    <x v="0"/>
    <s v="Travel_Rarely"/>
    <x v="2"/>
    <s v="Current Employees"/>
    <x v="5"/>
    <x v="5"/>
    <s v="STAFF-775"/>
    <n v="775"/>
    <x v="1"/>
    <x v="2"/>
    <x v="2"/>
    <s v="No"/>
    <n v="32"/>
    <n v="151060"/>
    <n v="1"/>
    <n v="1"/>
    <n v="11"/>
    <n v="12"/>
    <n v="2"/>
    <n v="2"/>
    <n v="3"/>
    <n v="23"/>
    <x v="1"/>
    <m/>
  </r>
  <r>
    <x v="0"/>
    <s v="Travel_Frequently"/>
    <x v="0"/>
    <s v="Current Employees"/>
    <x v="3"/>
    <x v="0"/>
    <s v="STAFF-776"/>
    <n v="776"/>
    <x v="0"/>
    <x v="7"/>
    <x v="0"/>
    <s v="No"/>
    <n v="59"/>
    <n v="126077"/>
    <n v="3"/>
    <n v="2"/>
    <n v="27"/>
    <n v="16"/>
    <n v="6"/>
    <n v="3"/>
    <n v="3"/>
    <n v="17"/>
    <x v="1"/>
    <m/>
  </r>
  <r>
    <x v="0"/>
    <s v="Travel_Frequently"/>
    <x v="3"/>
    <s v="Current Employees"/>
    <x v="0"/>
    <x v="0"/>
    <s v="STAFF-777"/>
    <n v="777"/>
    <x v="0"/>
    <x v="5"/>
    <x v="2"/>
    <s v="No"/>
    <n v="43"/>
    <n v="33834"/>
    <n v="4"/>
    <n v="1"/>
    <n v="28"/>
    <n v="0"/>
    <n v="5"/>
    <n v="1"/>
    <n v="4"/>
    <n v="19"/>
    <x v="3"/>
    <m/>
  </r>
  <r>
    <x v="0"/>
    <s v="Non-Travel"/>
    <x v="2"/>
    <s v="Current Employees"/>
    <x v="4"/>
    <x v="2"/>
    <s v="STAFF-778"/>
    <n v="778"/>
    <x v="1"/>
    <x v="9"/>
    <x v="1"/>
    <s v="No"/>
    <n v="44"/>
    <n v="148992"/>
    <n v="3"/>
    <n v="4"/>
    <n v="20"/>
    <n v="34"/>
    <n v="5"/>
    <n v="2"/>
    <n v="3"/>
    <n v="19"/>
    <x v="4"/>
    <m/>
  </r>
  <r>
    <x v="0"/>
    <s v="Travel_Frequently"/>
    <x v="1"/>
    <s v="Current Employees"/>
    <x v="1"/>
    <x v="2"/>
    <s v="STAFF-779"/>
    <n v="779"/>
    <x v="1"/>
    <x v="9"/>
    <x v="1"/>
    <s v="No"/>
    <n v="30"/>
    <n v="55246"/>
    <n v="4"/>
    <n v="4"/>
    <n v="1"/>
    <n v="8"/>
    <n v="6"/>
    <n v="3"/>
    <n v="4"/>
    <n v="28"/>
    <x v="4"/>
    <m/>
  </r>
  <r>
    <x v="0"/>
    <s v="Travel_Rarely"/>
    <x v="0"/>
    <s v="Current Employees"/>
    <x v="5"/>
    <x v="0"/>
    <s v="STAFF-780"/>
    <n v="780"/>
    <x v="0"/>
    <x v="3"/>
    <x v="2"/>
    <s v="Yes"/>
    <n v="46"/>
    <n v="141807"/>
    <n v="2"/>
    <n v="3"/>
    <n v="21"/>
    <n v="12"/>
    <n v="0"/>
    <n v="4"/>
    <n v="4"/>
    <n v="6"/>
    <x v="3"/>
    <m/>
  </r>
  <r>
    <x v="0"/>
    <s v="Travel_Rarely"/>
    <x v="4"/>
    <s v="Current Employees"/>
    <x v="0"/>
    <x v="0"/>
    <s v="STAFF-781"/>
    <n v="781"/>
    <x v="1"/>
    <x v="2"/>
    <x v="0"/>
    <s v="No"/>
    <n v="48"/>
    <n v="132060"/>
    <n v="2"/>
    <n v="4"/>
    <n v="3"/>
    <n v="22"/>
    <n v="0"/>
    <n v="1"/>
    <n v="4"/>
    <n v="23"/>
    <x v="2"/>
    <m/>
  </r>
  <r>
    <x v="0"/>
    <s v="Travel_Frequently"/>
    <x v="1"/>
    <s v="Current Employees"/>
    <x v="2"/>
    <x v="0"/>
    <s v="STAFF-782"/>
    <n v="782"/>
    <x v="1"/>
    <x v="9"/>
    <x v="2"/>
    <s v="No"/>
    <n v="31"/>
    <n v="106756"/>
    <n v="3"/>
    <n v="4"/>
    <n v="39"/>
    <n v="7"/>
    <n v="4"/>
    <n v="2"/>
    <n v="4"/>
    <n v="11"/>
    <x v="3"/>
    <m/>
  </r>
  <r>
    <x v="0"/>
    <s v="Non-Travel"/>
    <x v="4"/>
    <s v="Current Employees"/>
    <x v="0"/>
    <x v="5"/>
    <s v="STAFF-783"/>
    <n v="783"/>
    <x v="0"/>
    <x v="5"/>
    <x v="1"/>
    <s v="No"/>
    <n v="47"/>
    <n v="82516"/>
    <n v="2"/>
    <n v="3"/>
    <n v="14"/>
    <n v="20"/>
    <n v="5"/>
    <n v="4"/>
    <n v="4"/>
    <n v="18"/>
    <x v="3"/>
    <m/>
  </r>
  <r>
    <x v="0"/>
    <s v="Travel_Rarely"/>
    <x v="1"/>
    <s v="Current Employees"/>
    <x v="3"/>
    <x v="2"/>
    <s v="STAFF-784"/>
    <n v="784"/>
    <x v="0"/>
    <x v="2"/>
    <x v="0"/>
    <s v="Yes"/>
    <n v="36"/>
    <n v="146080"/>
    <n v="4"/>
    <n v="1"/>
    <n v="20"/>
    <n v="32"/>
    <n v="0"/>
    <n v="4"/>
    <n v="3"/>
    <n v="20"/>
    <x v="3"/>
    <m/>
  </r>
  <r>
    <x v="0"/>
    <s v="Non-Travel"/>
    <x v="2"/>
    <s v="Current Employees"/>
    <x v="2"/>
    <x v="2"/>
    <s v="STAFF-785"/>
    <n v="785"/>
    <x v="0"/>
    <x v="9"/>
    <x v="1"/>
    <s v="Yes"/>
    <n v="38"/>
    <n v="55508"/>
    <n v="3"/>
    <n v="1"/>
    <n v="30"/>
    <n v="15"/>
    <n v="1"/>
    <n v="1"/>
    <n v="4"/>
    <n v="12"/>
    <x v="0"/>
    <m/>
  </r>
  <r>
    <x v="0"/>
    <s v="Travel_Frequently"/>
    <x v="1"/>
    <s v="Current Employees"/>
    <x v="0"/>
    <x v="5"/>
    <s v="STAFF-786"/>
    <n v="786"/>
    <x v="1"/>
    <x v="2"/>
    <x v="0"/>
    <s v="Yes"/>
    <n v="33"/>
    <n v="174653"/>
    <n v="1"/>
    <n v="3"/>
    <n v="3"/>
    <n v="12"/>
    <n v="4"/>
    <n v="3"/>
    <n v="3"/>
    <n v="26"/>
    <x v="2"/>
    <m/>
  </r>
  <r>
    <x v="0"/>
    <s v="Travel_Frequently"/>
    <x v="4"/>
    <s v="Current Employees"/>
    <x v="4"/>
    <x v="2"/>
    <s v="STAFF-787"/>
    <n v="787"/>
    <x v="0"/>
    <x v="6"/>
    <x v="1"/>
    <s v="Yes"/>
    <n v="22"/>
    <n v="128473"/>
    <n v="1"/>
    <n v="3"/>
    <n v="29"/>
    <n v="9"/>
    <n v="3"/>
    <n v="4"/>
    <n v="3"/>
    <n v="20"/>
    <x v="2"/>
    <m/>
  </r>
  <r>
    <x v="0"/>
    <s v="Travel_Frequently"/>
    <x v="1"/>
    <s v="Current Employees"/>
    <x v="0"/>
    <x v="2"/>
    <s v="STAFF-788"/>
    <n v="788"/>
    <x v="0"/>
    <x v="2"/>
    <x v="1"/>
    <s v="No"/>
    <n v="31"/>
    <n v="171742"/>
    <n v="2"/>
    <n v="3"/>
    <n v="1"/>
    <n v="7"/>
    <n v="0"/>
    <n v="3"/>
    <n v="4"/>
    <n v="12"/>
    <x v="4"/>
    <m/>
  </r>
  <r>
    <x v="0"/>
    <s v="Travel_Rarely"/>
    <x v="2"/>
    <s v="Current Employees"/>
    <x v="2"/>
    <x v="3"/>
    <s v="STAFF-789"/>
    <n v="789"/>
    <x v="1"/>
    <x v="1"/>
    <x v="1"/>
    <s v="Yes"/>
    <n v="41"/>
    <n v="178715"/>
    <n v="1"/>
    <n v="3"/>
    <n v="20"/>
    <n v="36"/>
    <n v="6"/>
    <n v="1"/>
    <n v="3"/>
    <n v="24"/>
    <x v="4"/>
    <m/>
  </r>
  <r>
    <x v="0"/>
    <s v="Travel_Rarely"/>
    <x v="4"/>
    <s v="Current Employees"/>
    <x v="3"/>
    <x v="4"/>
    <s v="STAFF-790"/>
    <n v="790"/>
    <x v="0"/>
    <x v="3"/>
    <x v="2"/>
    <s v="No"/>
    <n v="43"/>
    <n v="106646"/>
    <n v="1"/>
    <n v="4"/>
    <n v="21"/>
    <n v="4"/>
    <n v="3"/>
    <n v="4"/>
    <n v="3"/>
    <n v="17"/>
    <x v="2"/>
    <m/>
  </r>
  <r>
    <x v="0"/>
    <s v="Non-Travel"/>
    <x v="1"/>
    <s v="Current Employees"/>
    <x v="3"/>
    <x v="4"/>
    <s v="STAFF-791"/>
    <n v="791"/>
    <x v="0"/>
    <x v="9"/>
    <x v="2"/>
    <s v="Yes"/>
    <n v="37"/>
    <n v="77610"/>
    <n v="2"/>
    <n v="1"/>
    <n v="35"/>
    <n v="1"/>
    <n v="0"/>
    <n v="2"/>
    <n v="4"/>
    <n v="2"/>
    <x v="1"/>
    <m/>
  </r>
  <r>
    <x v="0"/>
    <s v="Travel_Rarely"/>
    <x v="1"/>
    <s v="Current Employees"/>
    <x v="3"/>
    <x v="1"/>
    <s v="STAFF-792"/>
    <n v="792"/>
    <x v="1"/>
    <x v="1"/>
    <x v="1"/>
    <s v="No"/>
    <n v="22"/>
    <n v="151758"/>
    <n v="3"/>
    <n v="4"/>
    <n v="1"/>
    <n v="42"/>
    <n v="5"/>
    <n v="4"/>
    <n v="3"/>
    <n v="2"/>
    <x v="4"/>
    <m/>
  </r>
  <r>
    <x v="0"/>
    <s v="Travel_Frequently"/>
    <x v="1"/>
    <s v="Current Employees"/>
    <x v="2"/>
    <x v="4"/>
    <s v="STAFF-793"/>
    <n v="793"/>
    <x v="1"/>
    <x v="0"/>
    <x v="0"/>
    <s v="No"/>
    <n v="53"/>
    <n v="61038"/>
    <n v="4"/>
    <n v="2"/>
    <n v="9"/>
    <n v="34"/>
    <n v="0"/>
    <n v="3"/>
    <n v="4"/>
    <n v="18"/>
    <x v="3"/>
    <m/>
  </r>
  <r>
    <x v="0"/>
    <s v="Non-Travel"/>
    <x v="1"/>
    <s v="Current Employees"/>
    <x v="3"/>
    <x v="2"/>
    <s v="STAFF-794"/>
    <n v="794"/>
    <x v="1"/>
    <x v="3"/>
    <x v="1"/>
    <s v="No"/>
    <n v="46"/>
    <n v="49239"/>
    <n v="3"/>
    <n v="4"/>
    <n v="1"/>
    <n v="28"/>
    <n v="4"/>
    <n v="4"/>
    <n v="3"/>
    <n v="6"/>
    <x v="1"/>
    <m/>
  </r>
  <r>
    <x v="0"/>
    <s v="Travel_Rarely"/>
    <x v="4"/>
    <s v="Current Employees"/>
    <x v="5"/>
    <x v="0"/>
    <s v="STAFF-795"/>
    <n v="795"/>
    <x v="1"/>
    <x v="3"/>
    <x v="0"/>
    <s v="No"/>
    <n v="44"/>
    <n v="139577"/>
    <n v="1"/>
    <n v="2"/>
    <n v="36"/>
    <n v="16"/>
    <n v="1"/>
    <n v="1"/>
    <n v="4"/>
    <n v="1"/>
    <x v="4"/>
    <m/>
  </r>
  <r>
    <x v="0"/>
    <s v="Travel_Frequently"/>
    <x v="4"/>
    <s v="Current Employees"/>
    <x v="3"/>
    <x v="3"/>
    <s v="STAFF-796"/>
    <n v="796"/>
    <x v="1"/>
    <x v="1"/>
    <x v="1"/>
    <s v="No"/>
    <n v="59"/>
    <n v="61321"/>
    <n v="4"/>
    <n v="4"/>
    <n v="35"/>
    <n v="38"/>
    <n v="2"/>
    <n v="2"/>
    <n v="3"/>
    <n v="20"/>
    <x v="1"/>
    <m/>
  </r>
  <r>
    <x v="1"/>
    <s v="Travel_Rarely"/>
    <x v="4"/>
    <s v="Ex-Employees"/>
    <x v="2"/>
    <x v="4"/>
    <s v="STAFF-797"/>
    <n v="797"/>
    <x v="1"/>
    <x v="5"/>
    <x v="1"/>
    <s v="No"/>
    <n v="45"/>
    <n v="166926"/>
    <n v="2"/>
    <n v="1"/>
    <n v="3"/>
    <n v="23"/>
    <n v="1"/>
    <n v="2"/>
    <n v="4"/>
    <n v="24"/>
    <x v="3"/>
    <m/>
  </r>
  <r>
    <x v="0"/>
    <s v="Travel_Frequently"/>
    <x v="1"/>
    <s v="Current Employees"/>
    <x v="4"/>
    <x v="4"/>
    <s v="STAFF-798"/>
    <n v="798"/>
    <x v="0"/>
    <x v="8"/>
    <x v="2"/>
    <s v="No"/>
    <n v="50"/>
    <n v="71651"/>
    <n v="1"/>
    <n v="1"/>
    <n v="30"/>
    <n v="11"/>
    <n v="0"/>
    <n v="1"/>
    <n v="3"/>
    <n v="24"/>
    <x v="4"/>
    <m/>
  </r>
  <r>
    <x v="0"/>
    <s v="Non-Travel"/>
    <x v="4"/>
    <s v="Current Employees"/>
    <x v="5"/>
    <x v="2"/>
    <s v="STAFF-799"/>
    <n v="799"/>
    <x v="1"/>
    <x v="5"/>
    <x v="0"/>
    <s v="No"/>
    <n v="25"/>
    <n v="58185"/>
    <n v="2"/>
    <n v="1"/>
    <n v="25"/>
    <n v="24"/>
    <n v="0"/>
    <n v="1"/>
    <n v="4"/>
    <n v="14"/>
    <x v="2"/>
    <m/>
  </r>
  <r>
    <x v="0"/>
    <s v="Travel_Rarely"/>
    <x v="3"/>
    <s v="Current Employees"/>
    <x v="2"/>
    <x v="3"/>
    <s v="STAFF-800"/>
    <n v="800"/>
    <x v="0"/>
    <x v="8"/>
    <x v="0"/>
    <s v="No"/>
    <n v="51"/>
    <n v="71136"/>
    <n v="3"/>
    <n v="1"/>
    <n v="17"/>
    <n v="12"/>
    <n v="1"/>
    <n v="4"/>
    <n v="3"/>
    <n v="21"/>
    <x v="1"/>
    <m/>
  </r>
  <r>
    <x v="1"/>
    <s v="Non-Travel"/>
    <x v="4"/>
    <s v="Ex-Employees"/>
    <x v="1"/>
    <x v="3"/>
    <s v="STAFF-801"/>
    <n v="801"/>
    <x v="1"/>
    <x v="3"/>
    <x v="0"/>
    <s v="Yes"/>
    <n v="39"/>
    <n v="113429"/>
    <n v="1"/>
    <n v="3"/>
    <n v="29"/>
    <n v="30"/>
    <n v="4"/>
    <n v="2"/>
    <n v="4"/>
    <n v="22"/>
    <x v="3"/>
    <m/>
  </r>
  <r>
    <x v="0"/>
    <s v="Non-Travel"/>
    <x v="2"/>
    <s v="Current Employees"/>
    <x v="0"/>
    <x v="3"/>
    <s v="STAFF-802"/>
    <n v="802"/>
    <x v="1"/>
    <x v="7"/>
    <x v="2"/>
    <s v="No"/>
    <n v="44"/>
    <n v="140548"/>
    <n v="3"/>
    <n v="3"/>
    <n v="9"/>
    <n v="31"/>
    <n v="5"/>
    <n v="4"/>
    <n v="4"/>
    <n v="14"/>
    <x v="1"/>
    <m/>
  </r>
  <r>
    <x v="0"/>
    <s v="Travel_Frequently"/>
    <x v="4"/>
    <s v="Current Employees"/>
    <x v="0"/>
    <x v="3"/>
    <s v="STAFF-803"/>
    <n v="803"/>
    <x v="1"/>
    <x v="9"/>
    <x v="0"/>
    <s v="Yes"/>
    <n v="23"/>
    <n v="108034"/>
    <n v="2"/>
    <n v="3"/>
    <n v="34"/>
    <n v="40"/>
    <n v="6"/>
    <n v="2"/>
    <n v="3"/>
    <n v="27"/>
    <x v="4"/>
    <m/>
  </r>
  <r>
    <x v="0"/>
    <s v="Travel_Rarely"/>
    <x v="1"/>
    <s v="Current Employees"/>
    <x v="1"/>
    <x v="1"/>
    <s v="STAFF-804"/>
    <n v="804"/>
    <x v="0"/>
    <x v="4"/>
    <x v="2"/>
    <s v="Yes"/>
    <n v="37"/>
    <n v="162296"/>
    <n v="2"/>
    <n v="2"/>
    <n v="21"/>
    <n v="31"/>
    <n v="0"/>
    <n v="3"/>
    <n v="4"/>
    <n v="18"/>
    <x v="2"/>
    <m/>
  </r>
  <r>
    <x v="0"/>
    <s v="Non-Travel"/>
    <x v="4"/>
    <s v="Current Employees"/>
    <x v="3"/>
    <x v="2"/>
    <s v="STAFF-805"/>
    <n v="805"/>
    <x v="1"/>
    <x v="0"/>
    <x v="2"/>
    <s v="No"/>
    <n v="30"/>
    <n v="67369"/>
    <n v="1"/>
    <n v="1"/>
    <n v="31"/>
    <n v="9"/>
    <n v="0"/>
    <n v="3"/>
    <n v="3"/>
    <n v="25"/>
    <x v="2"/>
    <m/>
  </r>
  <r>
    <x v="0"/>
    <s v="Travel_Rarely"/>
    <x v="1"/>
    <s v="Current Employees"/>
    <x v="5"/>
    <x v="0"/>
    <s v="STAFF-806"/>
    <n v="806"/>
    <x v="0"/>
    <x v="5"/>
    <x v="2"/>
    <s v="No"/>
    <n v="28"/>
    <n v="72286"/>
    <n v="2"/>
    <n v="1"/>
    <n v="4"/>
    <n v="16"/>
    <n v="3"/>
    <n v="1"/>
    <n v="4"/>
    <n v="12"/>
    <x v="2"/>
    <m/>
  </r>
  <r>
    <x v="0"/>
    <s v="Travel_Frequently"/>
    <x v="2"/>
    <s v="Current Employees"/>
    <x v="0"/>
    <x v="2"/>
    <s v="STAFF-807"/>
    <n v="807"/>
    <x v="0"/>
    <x v="8"/>
    <x v="1"/>
    <s v="No"/>
    <n v="60"/>
    <n v="173539"/>
    <n v="1"/>
    <n v="4"/>
    <n v="2"/>
    <n v="31"/>
    <n v="2"/>
    <n v="3"/>
    <n v="3"/>
    <n v="9"/>
    <x v="2"/>
    <m/>
  </r>
  <r>
    <x v="1"/>
    <s v="Travel_Rarely"/>
    <x v="1"/>
    <s v="Ex-Employees"/>
    <x v="2"/>
    <x v="5"/>
    <s v="STAFF-808"/>
    <n v="808"/>
    <x v="1"/>
    <x v="9"/>
    <x v="2"/>
    <s v="No"/>
    <n v="23"/>
    <n v="145781"/>
    <n v="1"/>
    <n v="4"/>
    <n v="16"/>
    <n v="34"/>
    <n v="0"/>
    <n v="1"/>
    <n v="3"/>
    <n v="24"/>
    <x v="1"/>
    <m/>
  </r>
  <r>
    <x v="0"/>
    <s v="Non-Travel"/>
    <x v="2"/>
    <s v="Current Employees"/>
    <x v="3"/>
    <x v="5"/>
    <s v="STAFF-809"/>
    <n v="809"/>
    <x v="0"/>
    <x v="1"/>
    <x v="1"/>
    <s v="No"/>
    <n v="34"/>
    <n v="178882"/>
    <n v="4"/>
    <n v="1"/>
    <n v="0"/>
    <n v="8"/>
    <n v="4"/>
    <n v="1"/>
    <n v="4"/>
    <n v="3"/>
    <x v="0"/>
    <m/>
  </r>
  <r>
    <x v="0"/>
    <s v="Travel_Frequently"/>
    <x v="1"/>
    <s v="Current Employees"/>
    <x v="2"/>
    <x v="1"/>
    <s v="STAFF-810"/>
    <n v="810"/>
    <x v="0"/>
    <x v="8"/>
    <x v="0"/>
    <s v="Yes"/>
    <n v="54"/>
    <n v="146738"/>
    <n v="2"/>
    <n v="4"/>
    <n v="18"/>
    <n v="10"/>
    <n v="0"/>
    <n v="3"/>
    <n v="4"/>
    <n v="14"/>
    <x v="1"/>
    <m/>
  </r>
  <r>
    <x v="0"/>
    <s v="Travel_Rarely"/>
    <x v="3"/>
    <s v="Current Employees"/>
    <x v="4"/>
    <x v="5"/>
    <s v="STAFF-811"/>
    <n v="811"/>
    <x v="1"/>
    <x v="3"/>
    <x v="2"/>
    <s v="No"/>
    <n v="32"/>
    <n v="116754"/>
    <n v="1"/>
    <n v="3"/>
    <n v="11"/>
    <n v="14"/>
    <n v="2"/>
    <n v="4"/>
    <n v="3"/>
    <n v="23"/>
    <x v="2"/>
    <m/>
  </r>
  <r>
    <x v="0"/>
    <s v="Travel_Rarely"/>
    <x v="4"/>
    <s v="Current Employees"/>
    <x v="4"/>
    <x v="0"/>
    <s v="STAFF-812"/>
    <n v="812"/>
    <x v="0"/>
    <x v="6"/>
    <x v="0"/>
    <s v="Yes"/>
    <n v="49"/>
    <n v="148061"/>
    <n v="3"/>
    <n v="4"/>
    <n v="1"/>
    <n v="33"/>
    <n v="5"/>
    <n v="3"/>
    <n v="3"/>
    <n v="14"/>
    <x v="2"/>
    <m/>
  </r>
  <r>
    <x v="0"/>
    <s v="Travel_Frequently"/>
    <x v="1"/>
    <s v="Current Employees"/>
    <x v="5"/>
    <x v="4"/>
    <s v="STAFF-813"/>
    <n v="813"/>
    <x v="0"/>
    <x v="0"/>
    <x v="1"/>
    <s v="No"/>
    <n v="51"/>
    <n v="123205"/>
    <n v="2"/>
    <n v="2"/>
    <n v="7"/>
    <n v="1"/>
    <n v="1"/>
    <n v="1"/>
    <n v="3"/>
    <n v="22"/>
    <x v="4"/>
    <m/>
  </r>
  <r>
    <x v="0"/>
    <s v="Non-Travel"/>
    <x v="3"/>
    <s v="Current Employees"/>
    <x v="0"/>
    <x v="2"/>
    <s v="STAFF-814"/>
    <n v="814"/>
    <x v="1"/>
    <x v="0"/>
    <x v="0"/>
    <s v="Yes"/>
    <n v="58"/>
    <n v="126332"/>
    <n v="1"/>
    <n v="1"/>
    <n v="14"/>
    <n v="12"/>
    <n v="1"/>
    <n v="3"/>
    <n v="3"/>
    <n v="24"/>
    <x v="2"/>
    <m/>
  </r>
  <r>
    <x v="0"/>
    <s v="Travel_Rarely"/>
    <x v="0"/>
    <s v="Current Employees"/>
    <x v="4"/>
    <x v="1"/>
    <s v="STAFF-815"/>
    <n v="815"/>
    <x v="1"/>
    <x v="2"/>
    <x v="0"/>
    <s v="Yes"/>
    <n v="40"/>
    <n v="53929"/>
    <n v="3"/>
    <n v="2"/>
    <n v="30"/>
    <n v="13"/>
    <n v="1"/>
    <n v="4"/>
    <n v="4"/>
    <n v="16"/>
    <x v="4"/>
    <m/>
  </r>
  <r>
    <x v="0"/>
    <s v="Non-Travel"/>
    <x v="1"/>
    <s v="Current Employees"/>
    <x v="5"/>
    <x v="1"/>
    <s v="STAFF-816"/>
    <n v="816"/>
    <x v="0"/>
    <x v="6"/>
    <x v="0"/>
    <s v="Yes"/>
    <n v="53"/>
    <n v="56116"/>
    <n v="1"/>
    <n v="4"/>
    <n v="32"/>
    <n v="4"/>
    <n v="4"/>
    <n v="2"/>
    <n v="3"/>
    <n v="21"/>
    <x v="2"/>
    <m/>
  </r>
  <r>
    <x v="0"/>
    <s v="Travel_Frequently"/>
    <x v="1"/>
    <s v="Current Employees"/>
    <x v="3"/>
    <x v="5"/>
    <s v="STAFF-817"/>
    <n v="817"/>
    <x v="0"/>
    <x v="7"/>
    <x v="2"/>
    <s v="No"/>
    <n v="46"/>
    <n v="25252"/>
    <n v="2"/>
    <n v="3"/>
    <n v="25"/>
    <n v="28"/>
    <n v="4"/>
    <n v="2"/>
    <n v="3"/>
    <n v="16"/>
    <x v="0"/>
    <m/>
  </r>
  <r>
    <x v="1"/>
    <s v="Non-Travel"/>
    <x v="2"/>
    <s v="Ex-Employees"/>
    <x v="1"/>
    <x v="3"/>
    <s v="STAFF-818"/>
    <n v="818"/>
    <x v="0"/>
    <x v="3"/>
    <x v="0"/>
    <s v="No"/>
    <n v="52"/>
    <n v="37675"/>
    <n v="4"/>
    <n v="1"/>
    <n v="26"/>
    <n v="4"/>
    <n v="4"/>
    <n v="1"/>
    <n v="3"/>
    <n v="25"/>
    <x v="1"/>
    <m/>
  </r>
  <r>
    <x v="0"/>
    <s v="Non-Travel"/>
    <x v="1"/>
    <s v="Current Employees"/>
    <x v="1"/>
    <x v="2"/>
    <s v="STAFF-819"/>
    <n v="819"/>
    <x v="1"/>
    <x v="4"/>
    <x v="0"/>
    <s v="No"/>
    <n v="40"/>
    <n v="141184"/>
    <n v="4"/>
    <n v="4"/>
    <n v="37"/>
    <n v="35"/>
    <n v="5"/>
    <n v="2"/>
    <n v="4"/>
    <n v="11"/>
    <x v="1"/>
    <m/>
  </r>
  <r>
    <x v="0"/>
    <s v="Non-Travel"/>
    <x v="3"/>
    <s v="Current Employees"/>
    <x v="2"/>
    <x v="1"/>
    <s v="STAFF-820"/>
    <n v="820"/>
    <x v="0"/>
    <x v="8"/>
    <x v="0"/>
    <s v="No"/>
    <n v="38"/>
    <n v="93745"/>
    <n v="2"/>
    <n v="3"/>
    <n v="20"/>
    <n v="15"/>
    <n v="4"/>
    <n v="2"/>
    <n v="4"/>
    <n v="10"/>
    <x v="4"/>
    <m/>
  </r>
  <r>
    <x v="0"/>
    <s v="Travel_Frequently"/>
    <x v="2"/>
    <s v="Current Employees"/>
    <x v="1"/>
    <x v="2"/>
    <s v="STAFF-821"/>
    <n v="821"/>
    <x v="1"/>
    <x v="3"/>
    <x v="0"/>
    <s v="Yes"/>
    <n v="39"/>
    <n v="67798"/>
    <n v="3"/>
    <n v="3"/>
    <n v="13"/>
    <n v="29"/>
    <n v="4"/>
    <n v="2"/>
    <n v="3"/>
    <n v="24"/>
    <x v="3"/>
    <m/>
  </r>
  <r>
    <x v="0"/>
    <s v="Travel_Frequently"/>
    <x v="1"/>
    <s v="Current Employees"/>
    <x v="5"/>
    <x v="0"/>
    <s v="STAFF-822"/>
    <n v="822"/>
    <x v="1"/>
    <x v="1"/>
    <x v="2"/>
    <s v="No"/>
    <n v="51"/>
    <n v="88972"/>
    <n v="4"/>
    <n v="3"/>
    <n v="9"/>
    <n v="16"/>
    <n v="4"/>
    <n v="1"/>
    <n v="4"/>
    <n v="4"/>
    <x v="2"/>
    <m/>
  </r>
  <r>
    <x v="0"/>
    <s v="Travel_Rarely"/>
    <x v="3"/>
    <s v="Current Employees"/>
    <x v="4"/>
    <x v="0"/>
    <s v="STAFF-823"/>
    <n v="823"/>
    <x v="1"/>
    <x v="9"/>
    <x v="1"/>
    <s v="No"/>
    <n v="53"/>
    <n v="166754"/>
    <n v="4"/>
    <n v="2"/>
    <n v="17"/>
    <n v="3"/>
    <n v="3"/>
    <n v="4"/>
    <n v="3"/>
    <n v="16"/>
    <x v="2"/>
    <m/>
  </r>
  <r>
    <x v="0"/>
    <s v="Travel_Rarely"/>
    <x v="1"/>
    <s v="Current Employees"/>
    <x v="3"/>
    <x v="2"/>
    <s v="STAFF-824"/>
    <n v="824"/>
    <x v="0"/>
    <x v="5"/>
    <x v="2"/>
    <s v="No"/>
    <n v="27"/>
    <n v="161783"/>
    <n v="3"/>
    <n v="2"/>
    <n v="6"/>
    <n v="27"/>
    <n v="1"/>
    <n v="1"/>
    <n v="3"/>
    <n v="1"/>
    <x v="1"/>
    <m/>
  </r>
  <r>
    <x v="0"/>
    <s v="Travel_Frequently"/>
    <x v="2"/>
    <s v="Current Employees"/>
    <x v="0"/>
    <x v="5"/>
    <s v="STAFF-825"/>
    <n v="825"/>
    <x v="0"/>
    <x v="3"/>
    <x v="2"/>
    <s v="No"/>
    <n v="56"/>
    <n v="110681"/>
    <n v="2"/>
    <n v="2"/>
    <n v="1"/>
    <n v="35"/>
    <n v="4"/>
    <n v="3"/>
    <n v="3"/>
    <n v="6"/>
    <x v="2"/>
    <m/>
  </r>
  <r>
    <x v="0"/>
    <s v="Travel_Rarely"/>
    <x v="2"/>
    <s v="Current Employees"/>
    <x v="3"/>
    <x v="1"/>
    <s v="STAFF-826"/>
    <n v="826"/>
    <x v="1"/>
    <x v="9"/>
    <x v="2"/>
    <s v="Yes"/>
    <n v="36"/>
    <n v="124535"/>
    <n v="2"/>
    <n v="2"/>
    <n v="29"/>
    <n v="39"/>
    <n v="1"/>
    <n v="2"/>
    <n v="3"/>
    <n v="9"/>
    <x v="1"/>
    <m/>
  </r>
  <r>
    <x v="0"/>
    <s v="Non-Travel"/>
    <x v="2"/>
    <s v="Current Employees"/>
    <x v="1"/>
    <x v="1"/>
    <s v="STAFF-827"/>
    <n v="827"/>
    <x v="1"/>
    <x v="9"/>
    <x v="2"/>
    <s v="Yes"/>
    <n v="27"/>
    <n v="39495"/>
    <n v="4"/>
    <n v="4"/>
    <n v="28"/>
    <n v="9"/>
    <n v="5"/>
    <n v="4"/>
    <n v="4"/>
    <n v="1"/>
    <x v="0"/>
    <m/>
  </r>
  <r>
    <x v="0"/>
    <s v="Travel_Frequently"/>
    <x v="1"/>
    <s v="Current Employees"/>
    <x v="5"/>
    <x v="5"/>
    <s v="STAFF-828"/>
    <n v="828"/>
    <x v="1"/>
    <x v="1"/>
    <x v="2"/>
    <s v="No"/>
    <n v="53"/>
    <n v="179385"/>
    <n v="4"/>
    <n v="4"/>
    <n v="38"/>
    <n v="13"/>
    <n v="2"/>
    <n v="2"/>
    <n v="3"/>
    <n v="20"/>
    <x v="2"/>
    <m/>
  </r>
  <r>
    <x v="0"/>
    <s v="Travel_Frequently"/>
    <x v="1"/>
    <s v="Current Employees"/>
    <x v="3"/>
    <x v="2"/>
    <s v="STAFF-829"/>
    <n v="829"/>
    <x v="1"/>
    <x v="8"/>
    <x v="2"/>
    <s v="No"/>
    <n v="35"/>
    <n v="117468"/>
    <n v="4"/>
    <n v="1"/>
    <n v="36"/>
    <n v="15"/>
    <n v="5"/>
    <n v="1"/>
    <n v="4"/>
    <n v="23"/>
    <x v="1"/>
    <m/>
  </r>
  <r>
    <x v="0"/>
    <s v="Travel_Rarely"/>
    <x v="1"/>
    <s v="Current Employees"/>
    <x v="1"/>
    <x v="5"/>
    <s v="STAFF-830"/>
    <n v="830"/>
    <x v="1"/>
    <x v="9"/>
    <x v="1"/>
    <s v="Yes"/>
    <n v="48"/>
    <n v="84827"/>
    <n v="3"/>
    <n v="2"/>
    <n v="17"/>
    <n v="23"/>
    <n v="2"/>
    <n v="4"/>
    <n v="3"/>
    <n v="6"/>
    <x v="4"/>
    <m/>
  </r>
  <r>
    <x v="1"/>
    <s v="Non-Travel"/>
    <x v="2"/>
    <s v="Ex-Employees"/>
    <x v="2"/>
    <x v="0"/>
    <s v="STAFF-831"/>
    <n v="831"/>
    <x v="0"/>
    <x v="7"/>
    <x v="1"/>
    <s v="Yes"/>
    <n v="35"/>
    <n v="41585"/>
    <n v="2"/>
    <n v="1"/>
    <n v="39"/>
    <n v="35"/>
    <n v="0"/>
    <n v="3"/>
    <n v="3"/>
    <n v="17"/>
    <x v="3"/>
    <m/>
  </r>
  <r>
    <x v="0"/>
    <s v="Travel_Frequently"/>
    <x v="1"/>
    <s v="Current Employees"/>
    <x v="1"/>
    <x v="0"/>
    <s v="STAFF-832"/>
    <n v="832"/>
    <x v="0"/>
    <x v="7"/>
    <x v="1"/>
    <s v="Yes"/>
    <n v="54"/>
    <n v="35505"/>
    <n v="2"/>
    <n v="1"/>
    <n v="39"/>
    <n v="3"/>
    <n v="4"/>
    <n v="2"/>
    <n v="4"/>
    <n v="18"/>
    <x v="2"/>
    <m/>
  </r>
  <r>
    <x v="1"/>
    <s v="Travel_Rarely"/>
    <x v="4"/>
    <s v="Ex-Employees"/>
    <x v="3"/>
    <x v="0"/>
    <s v="STAFF-833"/>
    <n v="833"/>
    <x v="0"/>
    <x v="0"/>
    <x v="2"/>
    <s v="No"/>
    <n v="32"/>
    <n v="157972"/>
    <n v="1"/>
    <n v="4"/>
    <n v="35"/>
    <n v="23"/>
    <n v="5"/>
    <n v="2"/>
    <n v="3"/>
    <n v="18"/>
    <x v="4"/>
    <m/>
  </r>
  <r>
    <x v="0"/>
    <s v="Travel_Frequently"/>
    <x v="0"/>
    <s v="Current Employees"/>
    <x v="3"/>
    <x v="1"/>
    <s v="STAFF-834"/>
    <n v="834"/>
    <x v="0"/>
    <x v="4"/>
    <x v="0"/>
    <s v="Yes"/>
    <n v="46"/>
    <n v="53376"/>
    <n v="2"/>
    <n v="1"/>
    <n v="30"/>
    <n v="9"/>
    <n v="6"/>
    <n v="2"/>
    <n v="3"/>
    <n v="28"/>
    <x v="0"/>
    <m/>
  </r>
  <r>
    <x v="0"/>
    <s v="Travel_Frequently"/>
    <x v="2"/>
    <s v="Current Employees"/>
    <x v="0"/>
    <x v="0"/>
    <s v="STAFF-835"/>
    <n v="835"/>
    <x v="1"/>
    <x v="6"/>
    <x v="0"/>
    <s v="Yes"/>
    <n v="36"/>
    <n v="60490"/>
    <n v="1"/>
    <n v="1"/>
    <n v="24"/>
    <n v="8"/>
    <n v="0"/>
    <n v="3"/>
    <n v="4"/>
    <n v="17"/>
    <x v="2"/>
    <m/>
  </r>
  <r>
    <x v="0"/>
    <s v="Non-Travel"/>
    <x v="1"/>
    <s v="Current Employees"/>
    <x v="2"/>
    <x v="5"/>
    <s v="STAFF-836"/>
    <n v="836"/>
    <x v="1"/>
    <x v="4"/>
    <x v="1"/>
    <s v="No"/>
    <n v="37"/>
    <n v="155224"/>
    <n v="4"/>
    <n v="2"/>
    <n v="32"/>
    <n v="31"/>
    <n v="1"/>
    <n v="1"/>
    <n v="3"/>
    <n v="3"/>
    <x v="0"/>
    <m/>
  </r>
  <r>
    <x v="1"/>
    <s v="Non-Travel"/>
    <x v="4"/>
    <s v="Ex-Employees"/>
    <x v="4"/>
    <x v="5"/>
    <s v="STAFF-837"/>
    <n v="837"/>
    <x v="1"/>
    <x v="7"/>
    <x v="1"/>
    <s v="No"/>
    <n v="22"/>
    <n v="100456"/>
    <n v="4"/>
    <n v="2"/>
    <n v="1"/>
    <n v="13"/>
    <n v="3"/>
    <n v="2"/>
    <n v="4"/>
    <n v="28"/>
    <x v="0"/>
    <m/>
  </r>
  <r>
    <x v="0"/>
    <s v="Travel_Frequently"/>
    <x v="2"/>
    <s v="Current Employees"/>
    <x v="5"/>
    <x v="5"/>
    <s v="STAFF-838"/>
    <n v="838"/>
    <x v="0"/>
    <x v="6"/>
    <x v="2"/>
    <s v="Yes"/>
    <n v="49"/>
    <n v="84301"/>
    <n v="4"/>
    <n v="4"/>
    <n v="29"/>
    <n v="29"/>
    <n v="2"/>
    <n v="2"/>
    <n v="4"/>
    <n v="5"/>
    <x v="2"/>
    <m/>
  </r>
  <r>
    <x v="1"/>
    <s v="Non-Travel"/>
    <x v="1"/>
    <s v="Ex-Employees"/>
    <x v="3"/>
    <x v="4"/>
    <s v="STAFF-839"/>
    <n v="839"/>
    <x v="1"/>
    <x v="1"/>
    <x v="2"/>
    <s v="No"/>
    <n v="50"/>
    <n v="119333"/>
    <n v="4"/>
    <n v="1"/>
    <n v="38"/>
    <n v="18"/>
    <n v="2"/>
    <n v="4"/>
    <n v="3"/>
    <n v="30"/>
    <x v="2"/>
    <m/>
  </r>
  <r>
    <x v="0"/>
    <s v="Non-Travel"/>
    <x v="1"/>
    <s v="Current Employees"/>
    <x v="0"/>
    <x v="0"/>
    <s v="STAFF-840"/>
    <n v="840"/>
    <x v="0"/>
    <x v="0"/>
    <x v="2"/>
    <s v="No"/>
    <n v="24"/>
    <n v="24470"/>
    <n v="2"/>
    <n v="3"/>
    <n v="1"/>
    <n v="28"/>
    <n v="3"/>
    <n v="3"/>
    <n v="4"/>
    <n v="12"/>
    <x v="0"/>
    <m/>
  </r>
  <r>
    <x v="0"/>
    <s v="Non-Travel"/>
    <x v="1"/>
    <s v="Current Employees"/>
    <x v="2"/>
    <x v="4"/>
    <s v="STAFF-841"/>
    <n v="841"/>
    <x v="1"/>
    <x v="9"/>
    <x v="1"/>
    <s v="Yes"/>
    <n v="56"/>
    <n v="166465"/>
    <n v="1"/>
    <n v="2"/>
    <n v="24"/>
    <n v="21"/>
    <n v="5"/>
    <n v="4"/>
    <n v="4"/>
    <n v="5"/>
    <x v="4"/>
    <m/>
  </r>
  <r>
    <x v="0"/>
    <s v="Travel_Frequently"/>
    <x v="1"/>
    <s v="Current Employees"/>
    <x v="2"/>
    <x v="2"/>
    <s v="STAFF-842"/>
    <n v="842"/>
    <x v="1"/>
    <x v="3"/>
    <x v="2"/>
    <s v="Yes"/>
    <n v="40"/>
    <n v="21175"/>
    <n v="2"/>
    <n v="2"/>
    <n v="26"/>
    <n v="36"/>
    <n v="1"/>
    <n v="4"/>
    <n v="3"/>
    <n v="14"/>
    <x v="0"/>
    <m/>
  </r>
  <r>
    <x v="0"/>
    <s v="Travel_Rarely"/>
    <x v="3"/>
    <s v="Current Employees"/>
    <x v="3"/>
    <x v="4"/>
    <s v="STAFF-843"/>
    <n v="843"/>
    <x v="0"/>
    <x v="5"/>
    <x v="1"/>
    <s v="No"/>
    <n v="25"/>
    <n v="75434"/>
    <n v="4"/>
    <n v="2"/>
    <n v="31"/>
    <n v="7"/>
    <n v="0"/>
    <n v="4"/>
    <n v="4"/>
    <n v="20"/>
    <x v="3"/>
    <m/>
  </r>
  <r>
    <x v="1"/>
    <s v="Non-Travel"/>
    <x v="3"/>
    <s v="Ex-Employees"/>
    <x v="0"/>
    <x v="1"/>
    <s v="STAFF-844"/>
    <n v="844"/>
    <x v="1"/>
    <x v="1"/>
    <x v="0"/>
    <s v="Yes"/>
    <n v="58"/>
    <n v="154327"/>
    <n v="3"/>
    <n v="2"/>
    <n v="14"/>
    <n v="1"/>
    <n v="3"/>
    <n v="4"/>
    <n v="4"/>
    <n v="11"/>
    <x v="0"/>
    <m/>
  </r>
  <r>
    <x v="0"/>
    <s v="Travel_Rarely"/>
    <x v="3"/>
    <s v="Current Employees"/>
    <x v="1"/>
    <x v="1"/>
    <s v="STAFF-845"/>
    <n v="845"/>
    <x v="1"/>
    <x v="8"/>
    <x v="2"/>
    <s v="Yes"/>
    <n v="56"/>
    <n v="76622"/>
    <n v="2"/>
    <n v="2"/>
    <n v="29"/>
    <n v="9"/>
    <n v="0"/>
    <n v="3"/>
    <n v="4"/>
    <n v="24"/>
    <x v="2"/>
    <m/>
  </r>
  <r>
    <x v="0"/>
    <s v="Travel_Rarely"/>
    <x v="1"/>
    <s v="Current Employees"/>
    <x v="4"/>
    <x v="0"/>
    <s v="STAFF-846"/>
    <n v="846"/>
    <x v="1"/>
    <x v="0"/>
    <x v="1"/>
    <s v="Yes"/>
    <n v="48"/>
    <n v="124410"/>
    <n v="4"/>
    <n v="2"/>
    <n v="26"/>
    <n v="30"/>
    <n v="0"/>
    <n v="3"/>
    <n v="4"/>
    <n v="4"/>
    <x v="3"/>
    <m/>
  </r>
  <r>
    <x v="0"/>
    <s v="Travel_Frequently"/>
    <x v="4"/>
    <s v="Current Employees"/>
    <x v="1"/>
    <x v="1"/>
    <s v="STAFF-847"/>
    <n v="847"/>
    <x v="0"/>
    <x v="7"/>
    <x v="1"/>
    <s v="Yes"/>
    <n v="39"/>
    <n v="81762"/>
    <n v="2"/>
    <n v="3"/>
    <n v="10"/>
    <n v="38"/>
    <n v="2"/>
    <n v="4"/>
    <n v="3"/>
    <n v="4"/>
    <x v="1"/>
    <m/>
  </r>
  <r>
    <x v="0"/>
    <s v="Non-Travel"/>
    <x v="2"/>
    <s v="Current Employees"/>
    <x v="3"/>
    <x v="5"/>
    <s v="STAFF-848"/>
    <n v="848"/>
    <x v="1"/>
    <x v="0"/>
    <x v="0"/>
    <s v="Yes"/>
    <n v="24"/>
    <n v="18547"/>
    <n v="4"/>
    <n v="2"/>
    <n v="2"/>
    <n v="8"/>
    <n v="2"/>
    <n v="3"/>
    <n v="4"/>
    <n v="22"/>
    <x v="0"/>
    <m/>
  </r>
  <r>
    <x v="0"/>
    <s v="Travel_Frequently"/>
    <x v="1"/>
    <s v="Current Employees"/>
    <x v="0"/>
    <x v="4"/>
    <s v="STAFF-849"/>
    <n v="849"/>
    <x v="0"/>
    <x v="2"/>
    <x v="2"/>
    <s v="Yes"/>
    <n v="60"/>
    <n v="18055"/>
    <n v="2"/>
    <n v="2"/>
    <n v="25"/>
    <n v="31"/>
    <n v="0"/>
    <n v="3"/>
    <n v="4"/>
    <n v="20"/>
    <x v="0"/>
    <m/>
  </r>
  <r>
    <x v="0"/>
    <s v="Travel_Rarely"/>
    <x v="2"/>
    <s v="Current Employees"/>
    <x v="3"/>
    <x v="5"/>
    <s v="STAFF-850"/>
    <n v="850"/>
    <x v="1"/>
    <x v="6"/>
    <x v="0"/>
    <s v="Yes"/>
    <n v="52"/>
    <n v="176986"/>
    <n v="2"/>
    <n v="3"/>
    <n v="2"/>
    <n v="25"/>
    <n v="6"/>
    <n v="3"/>
    <n v="3"/>
    <n v="23"/>
    <x v="2"/>
    <m/>
  </r>
  <r>
    <x v="0"/>
    <s v="Travel_Frequently"/>
    <x v="1"/>
    <s v="Current Employees"/>
    <x v="2"/>
    <x v="2"/>
    <s v="STAFF-851"/>
    <n v="851"/>
    <x v="1"/>
    <x v="7"/>
    <x v="2"/>
    <s v="No"/>
    <n v="41"/>
    <n v="73193"/>
    <n v="2"/>
    <n v="4"/>
    <n v="9"/>
    <n v="9"/>
    <n v="0"/>
    <n v="1"/>
    <n v="3"/>
    <n v="19"/>
    <x v="1"/>
    <m/>
  </r>
  <r>
    <x v="0"/>
    <s v="Travel_Rarely"/>
    <x v="3"/>
    <s v="Current Employees"/>
    <x v="3"/>
    <x v="3"/>
    <s v="STAFF-852"/>
    <n v="852"/>
    <x v="0"/>
    <x v="8"/>
    <x v="1"/>
    <s v="No"/>
    <n v="58"/>
    <n v="80719"/>
    <n v="4"/>
    <n v="4"/>
    <n v="26"/>
    <n v="7"/>
    <n v="5"/>
    <n v="3"/>
    <n v="3"/>
    <n v="29"/>
    <x v="2"/>
    <m/>
  </r>
  <r>
    <x v="0"/>
    <s v="Travel_Rarely"/>
    <x v="1"/>
    <s v="Current Employees"/>
    <x v="1"/>
    <x v="2"/>
    <s v="STAFF-853"/>
    <n v="853"/>
    <x v="0"/>
    <x v="5"/>
    <x v="2"/>
    <s v="No"/>
    <n v="45"/>
    <n v="66906"/>
    <n v="4"/>
    <n v="4"/>
    <n v="25"/>
    <n v="20"/>
    <n v="3"/>
    <n v="2"/>
    <n v="4"/>
    <n v="24"/>
    <x v="2"/>
    <m/>
  </r>
  <r>
    <x v="0"/>
    <s v="Non-Travel"/>
    <x v="3"/>
    <s v="Current Employees"/>
    <x v="2"/>
    <x v="0"/>
    <s v="STAFF-854"/>
    <n v="854"/>
    <x v="0"/>
    <x v="6"/>
    <x v="1"/>
    <s v="No"/>
    <n v="26"/>
    <n v="145636"/>
    <n v="3"/>
    <n v="2"/>
    <n v="2"/>
    <n v="8"/>
    <n v="1"/>
    <n v="4"/>
    <n v="4"/>
    <n v="30"/>
    <x v="4"/>
    <m/>
  </r>
  <r>
    <x v="0"/>
    <s v="Non-Travel"/>
    <x v="1"/>
    <s v="Current Employees"/>
    <x v="4"/>
    <x v="2"/>
    <s v="STAFF-855"/>
    <n v="855"/>
    <x v="1"/>
    <x v="2"/>
    <x v="1"/>
    <s v="No"/>
    <n v="21"/>
    <n v="45419"/>
    <n v="4"/>
    <n v="2"/>
    <n v="13"/>
    <n v="9"/>
    <n v="2"/>
    <n v="3"/>
    <n v="4"/>
    <n v="29"/>
    <x v="0"/>
    <m/>
  </r>
  <r>
    <x v="1"/>
    <s v="Travel_Rarely"/>
    <x v="2"/>
    <s v="Ex-Employees"/>
    <x v="2"/>
    <x v="5"/>
    <s v="STAFF-856"/>
    <n v="856"/>
    <x v="0"/>
    <x v="9"/>
    <x v="0"/>
    <s v="No"/>
    <n v="55"/>
    <n v="137652"/>
    <n v="1"/>
    <n v="3"/>
    <n v="21"/>
    <n v="1"/>
    <n v="3"/>
    <n v="1"/>
    <n v="4"/>
    <n v="27"/>
    <x v="2"/>
    <m/>
  </r>
  <r>
    <x v="1"/>
    <s v="Non-Travel"/>
    <x v="4"/>
    <s v="Ex-Employees"/>
    <x v="2"/>
    <x v="0"/>
    <s v="STAFF-857"/>
    <n v="857"/>
    <x v="1"/>
    <x v="2"/>
    <x v="2"/>
    <s v="No"/>
    <n v="37"/>
    <n v="96717"/>
    <n v="1"/>
    <n v="2"/>
    <n v="37"/>
    <n v="16"/>
    <n v="3"/>
    <n v="3"/>
    <n v="3"/>
    <n v="17"/>
    <x v="4"/>
    <m/>
  </r>
  <r>
    <x v="0"/>
    <s v="Travel_Rarely"/>
    <x v="3"/>
    <s v="Current Employees"/>
    <x v="1"/>
    <x v="5"/>
    <s v="STAFF-858"/>
    <n v="858"/>
    <x v="0"/>
    <x v="7"/>
    <x v="2"/>
    <s v="Yes"/>
    <n v="38"/>
    <n v="158314"/>
    <n v="4"/>
    <n v="1"/>
    <n v="32"/>
    <n v="40"/>
    <n v="6"/>
    <n v="3"/>
    <n v="3"/>
    <n v="16"/>
    <x v="0"/>
    <m/>
  </r>
  <r>
    <x v="0"/>
    <s v="Travel_Rarely"/>
    <x v="2"/>
    <s v="Current Employees"/>
    <x v="0"/>
    <x v="0"/>
    <s v="STAFF-859"/>
    <n v="859"/>
    <x v="1"/>
    <x v="4"/>
    <x v="0"/>
    <s v="No"/>
    <n v="32"/>
    <n v="160885"/>
    <n v="2"/>
    <n v="1"/>
    <n v="27"/>
    <n v="5"/>
    <n v="2"/>
    <n v="2"/>
    <n v="4"/>
    <n v="1"/>
    <x v="1"/>
    <m/>
  </r>
  <r>
    <x v="0"/>
    <s v="Travel_Rarely"/>
    <x v="2"/>
    <s v="Current Employees"/>
    <x v="0"/>
    <x v="3"/>
    <s v="STAFF-860"/>
    <n v="860"/>
    <x v="1"/>
    <x v="8"/>
    <x v="1"/>
    <s v="Yes"/>
    <n v="48"/>
    <n v="71501"/>
    <n v="2"/>
    <n v="3"/>
    <n v="6"/>
    <n v="18"/>
    <n v="2"/>
    <n v="1"/>
    <n v="3"/>
    <n v="5"/>
    <x v="1"/>
    <m/>
  </r>
  <r>
    <x v="1"/>
    <s v="Travel_Rarely"/>
    <x v="0"/>
    <s v="Ex-Employees"/>
    <x v="3"/>
    <x v="2"/>
    <s v="STAFF-861"/>
    <n v="861"/>
    <x v="0"/>
    <x v="0"/>
    <x v="1"/>
    <s v="No"/>
    <n v="28"/>
    <n v="149193"/>
    <n v="4"/>
    <n v="1"/>
    <n v="30"/>
    <n v="42"/>
    <n v="4"/>
    <n v="3"/>
    <n v="3"/>
    <n v="12"/>
    <x v="1"/>
    <m/>
  </r>
  <r>
    <x v="0"/>
    <s v="Non-Travel"/>
    <x v="1"/>
    <s v="Current Employees"/>
    <x v="3"/>
    <x v="2"/>
    <s v="STAFF-862"/>
    <n v="862"/>
    <x v="0"/>
    <x v="2"/>
    <x v="2"/>
    <s v="Yes"/>
    <n v="31"/>
    <n v="56223"/>
    <n v="3"/>
    <n v="2"/>
    <n v="33"/>
    <n v="34"/>
    <n v="1"/>
    <n v="4"/>
    <n v="4"/>
    <n v="1"/>
    <x v="3"/>
    <m/>
  </r>
  <r>
    <x v="1"/>
    <s v="Travel_Rarely"/>
    <x v="4"/>
    <s v="Ex-Employees"/>
    <x v="1"/>
    <x v="1"/>
    <s v="STAFF-863"/>
    <n v="863"/>
    <x v="1"/>
    <x v="3"/>
    <x v="2"/>
    <s v="Yes"/>
    <n v="60"/>
    <n v="144726"/>
    <n v="1"/>
    <n v="2"/>
    <n v="31"/>
    <n v="35"/>
    <n v="6"/>
    <n v="4"/>
    <n v="4"/>
    <n v="11"/>
    <x v="3"/>
    <m/>
  </r>
  <r>
    <x v="0"/>
    <s v="Travel_Rarely"/>
    <x v="0"/>
    <s v="Current Employees"/>
    <x v="1"/>
    <x v="4"/>
    <s v="STAFF-864"/>
    <n v="864"/>
    <x v="1"/>
    <x v="5"/>
    <x v="0"/>
    <s v="No"/>
    <n v="42"/>
    <n v="126929"/>
    <n v="1"/>
    <n v="3"/>
    <n v="29"/>
    <n v="5"/>
    <n v="1"/>
    <n v="1"/>
    <n v="3"/>
    <n v="19"/>
    <x v="4"/>
    <m/>
  </r>
  <r>
    <x v="0"/>
    <s v="Non-Travel"/>
    <x v="2"/>
    <s v="Current Employees"/>
    <x v="2"/>
    <x v="2"/>
    <s v="STAFF-865"/>
    <n v="865"/>
    <x v="0"/>
    <x v="2"/>
    <x v="2"/>
    <s v="No"/>
    <n v="36"/>
    <n v="99804"/>
    <n v="4"/>
    <n v="3"/>
    <n v="2"/>
    <n v="6"/>
    <n v="0"/>
    <n v="3"/>
    <n v="3"/>
    <n v="23"/>
    <x v="3"/>
    <m/>
  </r>
  <r>
    <x v="0"/>
    <s v="Travel_Frequently"/>
    <x v="3"/>
    <s v="Current Employees"/>
    <x v="0"/>
    <x v="5"/>
    <s v="STAFF-866"/>
    <n v="866"/>
    <x v="0"/>
    <x v="4"/>
    <x v="1"/>
    <s v="Yes"/>
    <n v="52"/>
    <n v="98841"/>
    <n v="3"/>
    <n v="4"/>
    <n v="1"/>
    <n v="1"/>
    <n v="2"/>
    <n v="3"/>
    <n v="3"/>
    <n v="23"/>
    <x v="1"/>
    <m/>
  </r>
  <r>
    <x v="1"/>
    <s v="Non-Travel"/>
    <x v="4"/>
    <s v="Ex-Employees"/>
    <x v="2"/>
    <x v="4"/>
    <s v="STAFF-867"/>
    <n v="867"/>
    <x v="1"/>
    <x v="0"/>
    <x v="2"/>
    <s v="No"/>
    <n v="42"/>
    <n v="101443"/>
    <n v="1"/>
    <n v="2"/>
    <n v="36"/>
    <n v="13"/>
    <n v="4"/>
    <n v="1"/>
    <n v="3"/>
    <n v="2"/>
    <x v="3"/>
    <m/>
  </r>
  <r>
    <x v="0"/>
    <s v="Travel_Rarely"/>
    <x v="4"/>
    <s v="Current Employees"/>
    <x v="2"/>
    <x v="3"/>
    <s v="STAFF-868"/>
    <n v="868"/>
    <x v="1"/>
    <x v="4"/>
    <x v="0"/>
    <s v="No"/>
    <n v="27"/>
    <n v="123814"/>
    <n v="1"/>
    <n v="3"/>
    <n v="26"/>
    <n v="5"/>
    <n v="5"/>
    <n v="3"/>
    <n v="4"/>
    <n v="24"/>
    <x v="1"/>
    <m/>
  </r>
  <r>
    <x v="0"/>
    <s v="Travel_Rarely"/>
    <x v="0"/>
    <s v="Current Employees"/>
    <x v="2"/>
    <x v="4"/>
    <s v="STAFF-869"/>
    <n v="869"/>
    <x v="1"/>
    <x v="5"/>
    <x v="1"/>
    <s v="No"/>
    <n v="46"/>
    <n v="160072"/>
    <n v="1"/>
    <n v="3"/>
    <n v="10"/>
    <n v="37"/>
    <n v="4"/>
    <n v="2"/>
    <n v="3"/>
    <n v="11"/>
    <x v="4"/>
    <m/>
  </r>
  <r>
    <x v="0"/>
    <s v="Travel_Rarely"/>
    <x v="4"/>
    <s v="Current Employees"/>
    <x v="5"/>
    <x v="3"/>
    <s v="STAFF-870"/>
    <n v="870"/>
    <x v="0"/>
    <x v="9"/>
    <x v="2"/>
    <s v="Yes"/>
    <n v="31"/>
    <n v="151610"/>
    <n v="2"/>
    <n v="4"/>
    <n v="0"/>
    <n v="33"/>
    <n v="2"/>
    <n v="2"/>
    <n v="4"/>
    <n v="18"/>
    <x v="4"/>
    <m/>
  </r>
  <r>
    <x v="0"/>
    <s v="Travel_Frequently"/>
    <x v="1"/>
    <s v="Current Employees"/>
    <x v="5"/>
    <x v="0"/>
    <s v="STAFF-871"/>
    <n v="871"/>
    <x v="1"/>
    <x v="1"/>
    <x v="2"/>
    <s v="No"/>
    <n v="58"/>
    <n v="125883"/>
    <n v="3"/>
    <n v="3"/>
    <n v="15"/>
    <n v="39"/>
    <n v="6"/>
    <n v="1"/>
    <n v="4"/>
    <n v="9"/>
    <x v="0"/>
    <m/>
  </r>
  <r>
    <x v="0"/>
    <s v="Non-Travel"/>
    <x v="3"/>
    <s v="Current Employees"/>
    <x v="1"/>
    <x v="0"/>
    <s v="STAFF-872"/>
    <n v="872"/>
    <x v="1"/>
    <x v="6"/>
    <x v="0"/>
    <s v="Yes"/>
    <n v="58"/>
    <n v="49451"/>
    <n v="2"/>
    <n v="2"/>
    <n v="2"/>
    <n v="14"/>
    <n v="1"/>
    <n v="1"/>
    <n v="3"/>
    <n v="22"/>
    <x v="2"/>
    <m/>
  </r>
  <r>
    <x v="0"/>
    <s v="Non-Travel"/>
    <x v="1"/>
    <s v="Current Employees"/>
    <x v="4"/>
    <x v="4"/>
    <s v="STAFF-873"/>
    <n v="873"/>
    <x v="0"/>
    <x v="0"/>
    <x v="0"/>
    <s v="Yes"/>
    <n v="47"/>
    <n v="46037"/>
    <n v="3"/>
    <n v="2"/>
    <n v="28"/>
    <n v="9"/>
    <n v="1"/>
    <n v="1"/>
    <n v="4"/>
    <n v="11"/>
    <x v="2"/>
    <m/>
  </r>
  <r>
    <x v="0"/>
    <s v="Travel_Frequently"/>
    <x v="2"/>
    <s v="Current Employees"/>
    <x v="0"/>
    <x v="3"/>
    <s v="STAFF-874"/>
    <n v="874"/>
    <x v="0"/>
    <x v="6"/>
    <x v="2"/>
    <s v="No"/>
    <n v="43"/>
    <n v="67283"/>
    <n v="2"/>
    <n v="4"/>
    <n v="31"/>
    <n v="17"/>
    <n v="3"/>
    <n v="1"/>
    <n v="4"/>
    <n v="1"/>
    <x v="2"/>
    <m/>
  </r>
  <r>
    <x v="0"/>
    <s v="Non-Travel"/>
    <x v="0"/>
    <s v="Current Employees"/>
    <x v="4"/>
    <x v="5"/>
    <s v="STAFF-875"/>
    <n v="875"/>
    <x v="1"/>
    <x v="3"/>
    <x v="1"/>
    <s v="Yes"/>
    <n v="39"/>
    <n v="54883"/>
    <n v="3"/>
    <n v="3"/>
    <n v="11"/>
    <n v="27"/>
    <n v="6"/>
    <n v="1"/>
    <n v="4"/>
    <n v="26"/>
    <x v="0"/>
    <m/>
  </r>
  <r>
    <x v="0"/>
    <s v="Non-Travel"/>
    <x v="2"/>
    <s v="Current Employees"/>
    <x v="0"/>
    <x v="0"/>
    <s v="STAFF-876"/>
    <n v="876"/>
    <x v="1"/>
    <x v="3"/>
    <x v="0"/>
    <s v="No"/>
    <n v="51"/>
    <n v="120392"/>
    <n v="3"/>
    <n v="2"/>
    <n v="30"/>
    <n v="14"/>
    <n v="3"/>
    <n v="2"/>
    <n v="3"/>
    <n v="25"/>
    <x v="4"/>
    <m/>
  </r>
  <r>
    <x v="0"/>
    <s v="Non-Travel"/>
    <x v="1"/>
    <s v="Current Employees"/>
    <x v="2"/>
    <x v="3"/>
    <s v="STAFF-877"/>
    <n v="877"/>
    <x v="0"/>
    <x v="0"/>
    <x v="1"/>
    <s v="No"/>
    <n v="54"/>
    <n v="84797"/>
    <n v="1"/>
    <n v="3"/>
    <n v="33"/>
    <n v="19"/>
    <n v="5"/>
    <n v="4"/>
    <n v="3"/>
    <n v="3"/>
    <x v="0"/>
    <m/>
  </r>
  <r>
    <x v="1"/>
    <s v="Travel_Frequently"/>
    <x v="1"/>
    <s v="Ex-Employees"/>
    <x v="0"/>
    <x v="0"/>
    <s v="STAFF-878"/>
    <n v="878"/>
    <x v="0"/>
    <x v="9"/>
    <x v="0"/>
    <s v="Yes"/>
    <n v="30"/>
    <n v="23130"/>
    <n v="3"/>
    <n v="4"/>
    <n v="36"/>
    <n v="21"/>
    <n v="0"/>
    <n v="4"/>
    <n v="3"/>
    <n v="6"/>
    <x v="1"/>
    <m/>
  </r>
  <r>
    <x v="0"/>
    <s v="Travel_Frequently"/>
    <x v="2"/>
    <s v="Current Employees"/>
    <x v="1"/>
    <x v="3"/>
    <s v="STAFF-879"/>
    <n v="879"/>
    <x v="1"/>
    <x v="2"/>
    <x v="2"/>
    <s v="No"/>
    <n v="59"/>
    <n v="166167"/>
    <n v="3"/>
    <n v="1"/>
    <n v="24"/>
    <n v="30"/>
    <n v="4"/>
    <n v="2"/>
    <n v="3"/>
    <n v="11"/>
    <x v="1"/>
    <m/>
  </r>
  <r>
    <x v="1"/>
    <s v="Non-Travel"/>
    <x v="1"/>
    <s v="Ex-Employees"/>
    <x v="3"/>
    <x v="2"/>
    <s v="STAFF-880"/>
    <n v="880"/>
    <x v="1"/>
    <x v="3"/>
    <x v="1"/>
    <s v="Yes"/>
    <n v="25"/>
    <n v="45051"/>
    <n v="2"/>
    <n v="2"/>
    <n v="26"/>
    <n v="2"/>
    <n v="1"/>
    <n v="4"/>
    <n v="4"/>
    <n v="18"/>
    <x v="1"/>
    <m/>
  </r>
  <r>
    <x v="0"/>
    <s v="Travel_Frequently"/>
    <x v="3"/>
    <s v="Current Employees"/>
    <x v="2"/>
    <x v="3"/>
    <s v="STAFF-881"/>
    <n v="881"/>
    <x v="0"/>
    <x v="3"/>
    <x v="0"/>
    <s v="Yes"/>
    <n v="34"/>
    <n v="115223"/>
    <n v="1"/>
    <n v="1"/>
    <n v="16"/>
    <n v="0"/>
    <n v="4"/>
    <n v="4"/>
    <n v="3"/>
    <n v="9"/>
    <x v="0"/>
    <m/>
  </r>
  <r>
    <x v="1"/>
    <s v="Travel_Frequently"/>
    <x v="4"/>
    <s v="Ex-Employees"/>
    <x v="4"/>
    <x v="0"/>
    <s v="STAFF-882"/>
    <n v="882"/>
    <x v="0"/>
    <x v="0"/>
    <x v="1"/>
    <s v="Yes"/>
    <n v="23"/>
    <n v="142783"/>
    <n v="3"/>
    <n v="2"/>
    <n v="0"/>
    <n v="31"/>
    <n v="6"/>
    <n v="2"/>
    <n v="4"/>
    <n v="29"/>
    <x v="3"/>
    <m/>
  </r>
  <r>
    <x v="0"/>
    <s v="Non-Travel"/>
    <x v="2"/>
    <s v="Current Employees"/>
    <x v="3"/>
    <x v="2"/>
    <s v="STAFF-883"/>
    <n v="883"/>
    <x v="0"/>
    <x v="7"/>
    <x v="0"/>
    <s v="No"/>
    <n v="43"/>
    <n v="136582"/>
    <n v="2"/>
    <n v="1"/>
    <n v="6"/>
    <n v="40"/>
    <n v="4"/>
    <n v="1"/>
    <n v="4"/>
    <n v="7"/>
    <x v="4"/>
    <m/>
  </r>
  <r>
    <x v="0"/>
    <s v="Non-Travel"/>
    <x v="1"/>
    <s v="Current Employees"/>
    <x v="4"/>
    <x v="0"/>
    <s v="STAFF-884"/>
    <n v="884"/>
    <x v="0"/>
    <x v="3"/>
    <x v="2"/>
    <s v="Yes"/>
    <n v="39"/>
    <n v="138810"/>
    <n v="1"/>
    <n v="4"/>
    <n v="14"/>
    <n v="39"/>
    <n v="1"/>
    <n v="1"/>
    <n v="3"/>
    <n v="24"/>
    <x v="4"/>
    <m/>
  </r>
  <r>
    <x v="0"/>
    <s v="Non-Travel"/>
    <x v="4"/>
    <s v="Current Employees"/>
    <x v="0"/>
    <x v="5"/>
    <s v="STAFF-885"/>
    <n v="885"/>
    <x v="0"/>
    <x v="0"/>
    <x v="2"/>
    <s v="No"/>
    <n v="45"/>
    <n v="19998"/>
    <n v="2"/>
    <n v="3"/>
    <n v="2"/>
    <n v="34"/>
    <n v="1"/>
    <n v="4"/>
    <n v="3"/>
    <n v="3"/>
    <x v="4"/>
    <m/>
  </r>
  <r>
    <x v="0"/>
    <s v="Travel_Frequently"/>
    <x v="1"/>
    <s v="Current Employees"/>
    <x v="4"/>
    <x v="0"/>
    <s v="STAFF-886"/>
    <n v="886"/>
    <x v="0"/>
    <x v="8"/>
    <x v="0"/>
    <s v="No"/>
    <n v="49"/>
    <n v="59260"/>
    <n v="2"/>
    <n v="4"/>
    <n v="27"/>
    <n v="11"/>
    <n v="4"/>
    <n v="4"/>
    <n v="4"/>
    <n v="11"/>
    <x v="3"/>
    <m/>
  </r>
  <r>
    <x v="0"/>
    <s v="Travel_Rarely"/>
    <x v="4"/>
    <s v="Current Employees"/>
    <x v="4"/>
    <x v="5"/>
    <s v="STAFF-887"/>
    <n v="887"/>
    <x v="1"/>
    <x v="7"/>
    <x v="0"/>
    <s v="No"/>
    <n v="26"/>
    <n v="170411"/>
    <n v="1"/>
    <n v="2"/>
    <n v="3"/>
    <n v="14"/>
    <n v="5"/>
    <n v="1"/>
    <n v="4"/>
    <n v="13"/>
    <x v="0"/>
    <m/>
  </r>
  <r>
    <x v="0"/>
    <s v="Non-Travel"/>
    <x v="4"/>
    <s v="Current Employees"/>
    <x v="4"/>
    <x v="0"/>
    <s v="STAFF-888"/>
    <n v="888"/>
    <x v="0"/>
    <x v="6"/>
    <x v="2"/>
    <s v="Yes"/>
    <n v="53"/>
    <n v="177095"/>
    <n v="1"/>
    <n v="2"/>
    <n v="34"/>
    <n v="35"/>
    <n v="0"/>
    <n v="3"/>
    <n v="3"/>
    <n v="9"/>
    <x v="3"/>
    <m/>
  </r>
  <r>
    <x v="0"/>
    <s v="Travel_Rarely"/>
    <x v="1"/>
    <s v="Current Employees"/>
    <x v="3"/>
    <x v="5"/>
    <s v="STAFF-889"/>
    <n v="889"/>
    <x v="1"/>
    <x v="3"/>
    <x v="2"/>
    <s v="Yes"/>
    <n v="26"/>
    <n v="153778"/>
    <n v="2"/>
    <n v="4"/>
    <n v="4"/>
    <n v="27"/>
    <n v="5"/>
    <n v="1"/>
    <n v="4"/>
    <n v="15"/>
    <x v="4"/>
    <m/>
  </r>
  <r>
    <x v="0"/>
    <s v="Travel_Rarely"/>
    <x v="3"/>
    <s v="Current Employees"/>
    <x v="0"/>
    <x v="4"/>
    <s v="STAFF-890"/>
    <n v="890"/>
    <x v="0"/>
    <x v="5"/>
    <x v="0"/>
    <s v="Yes"/>
    <n v="22"/>
    <n v="39924"/>
    <n v="3"/>
    <n v="2"/>
    <n v="40"/>
    <n v="37"/>
    <n v="0"/>
    <n v="1"/>
    <n v="3"/>
    <n v="16"/>
    <x v="1"/>
    <m/>
  </r>
  <r>
    <x v="0"/>
    <s v="Travel_Frequently"/>
    <x v="4"/>
    <s v="Current Employees"/>
    <x v="5"/>
    <x v="4"/>
    <s v="STAFF-891"/>
    <n v="891"/>
    <x v="0"/>
    <x v="6"/>
    <x v="1"/>
    <s v="No"/>
    <n v="45"/>
    <n v="48187"/>
    <n v="3"/>
    <n v="3"/>
    <n v="16"/>
    <n v="10"/>
    <n v="0"/>
    <n v="2"/>
    <n v="4"/>
    <n v="10"/>
    <x v="2"/>
    <m/>
  </r>
  <r>
    <x v="0"/>
    <s v="Travel_Rarely"/>
    <x v="4"/>
    <s v="Current Employees"/>
    <x v="3"/>
    <x v="2"/>
    <s v="STAFF-892"/>
    <n v="892"/>
    <x v="0"/>
    <x v="1"/>
    <x v="1"/>
    <s v="No"/>
    <n v="23"/>
    <n v="150944"/>
    <n v="4"/>
    <n v="4"/>
    <n v="1"/>
    <n v="2"/>
    <n v="4"/>
    <n v="1"/>
    <n v="3"/>
    <n v="22"/>
    <x v="3"/>
    <m/>
  </r>
  <r>
    <x v="1"/>
    <s v="Travel_Frequently"/>
    <x v="1"/>
    <s v="Ex-Employees"/>
    <x v="5"/>
    <x v="4"/>
    <s v="STAFF-893"/>
    <n v="893"/>
    <x v="1"/>
    <x v="4"/>
    <x v="1"/>
    <s v="Yes"/>
    <n v="46"/>
    <n v="117017"/>
    <n v="1"/>
    <n v="2"/>
    <n v="26"/>
    <n v="9"/>
    <n v="6"/>
    <n v="3"/>
    <n v="3"/>
    <n v="11"/>
    <x v="3"/>
    <m/>
  </r>
  <r>
    <x v="0"/>
    <s v="Non-Travel"/>
    <x v="1"/>
    <s v="Current Employees"/>
    <x v="3"/>
    <x v="5"/>
    <s v="STAFF-894"/>
    <n v="894"/>
    <x v="0"/>
    <x v="4"/>
    <x v="0"/>
    <s v="Yes"/>
    <n v="51"/>
    <n v="31903"/>
    <n v="4"/>
    <n v="2"/>
    <n v="15"/>
    <n v="26"/>
    <n v="4"/>
    <n v="4"/>
    <n v="4"/>
    <n v="26"/>
    <x v="1"/>
    <m/>
  </r>
  <r>
    <x v="0"/>
    <s v="Travel_Rarely"/>
    <x v="4"/>
    <s v="Current Employees"/>
    <x v="2"/>
    <x v="0"/>
    <s v="STAFF-895"/>
    <n v="895"/>
    <x v="0"/>
    <x v="5"/>
    <x v="1"/>
    <s v="Yes"/>
    <n v="28"/>
    <n v="120675"/>
    <n v="3"/>
    <n v="1"/>
    <n v="35"/>
    <n v="33"/>
    <n v="5"/>
    <n v="1"/>
    <n v="4"/>
    <n v="21"/>
    <x v="3"/>
    <m/>
  </r>
  <r>
    <x v="1"/>
    <s v="Travel_Frequently"/>
    <x v="2"/>
    <s v="Ex-Employees"/>
    <x v="2"/>
    <x v="5"/>
    <s v="STAFF-896"/>
    <n v="896"/>
    <x v="0"/>
    <x v="4"/>
    <x v="2"/>
    <s v="No"/>
    <n v="33"/>
    <n v="156496"/>
    <n v="1"/>
    <n v="4"/>
    <n v="17"/>
    <n v="15"/>
    <n v="1"/>
    <n v="1"/>
    <n v="3"/>
    <n v="23"/>
    <x v="2"/>
    <m/>
  </r>
  <r>
    <x v="0"/>
    <s v="Non-Travel"/>
    <x v="1"/>
    <s v="Current Employees"/>
    <x v="3"/>
    <x v="1"/>
    <s v="STAFF-897"/>
    <n v="897"/>
    <x v="1"/>
    <x v="7"/>
    <x v="1"/>
    <s v="Yes"/>
    <n v="22"/>
    <n v="81626"/>
    <n v="4"/>
    <n v="2"/>
    <n v="23"/>
    <n v="33"/>
    <n v="3"/>
    <n v="2"/>
    <n v="3"/>
    <n v="10"/>
    <x v="3"/>
    <m/>
  </r>
  <r>
    <x v="0"/>
    <s v="Travel_Frequently"/>
    <x v="4"/>
    <s v="Current Employees"/>
    <x v="1"/>
    <x v="3"/>
    <s v="STAFF-898"/>
    <n v="898"/>
    <x v="1"/>
    <x v="6"/>
    <x v="1"/>
    <s v="No"/>
    <n v="39"/>
    <n v="29093"/>
    <n v="2"/>
    <n v="4"/>
    <n v="14"/>
    <n v="23"/>
    <n v="2"/>
    <n v="2"/>
    <n v="4"/>
    <n v="7"/>
    <x v="1"/>
    <m/>
  </r>
  <r>
    <x v="0"/>
    <s v="Travel_Frequently"/>
    <x v="2"/>
    <s v="Current Employees"/>
    <x v="0"/>
    <x v="2"/>
    <s v="STAFF-899"/>
    <n v="899"/>
    <x v="1"/>
    <x v="4"/>
    <x v="0"/>
    <s v="Yes"/>
    <n v="35"/>
    <n v="46564"/>
    <n v="3"/>
    <n v="2"/>
    <n v="35"/>
    <n v="32"/>
    <n v="4"/>
    <n v="2"/>
    <n v="4"/>
    <n v="11"/>
    <x v="4"/>
    <m/>
  </r>
  <r>
    <x v="0"/>
    <s v="Non-Travel"/>
    <x v="4"/>
    <s v="Current Employees"/>
    <x v="4"/>
    <x v="3"/>
    <s v="STAFF-900"/>
    <n v="900"/>
    <x v="1"/>
    <x v="5"/>
    <x v="1"/>
    <s v="Yes"/>
    <n v="39"/>
    <n v="80604"/>
    <n v="2"/>
    <n v="2"/>
    <n v="13"/>
    <n v="22"/>
    <n v="1"/>
    <n v="3"/>
    <n v="4"/>
    <n v="29"/>
    <x v="1"/>
    <m/>
  </r>
  <r>
    <x v="0"/>
    <s v="Travel_Rarely"/>
    <x v="1"/>
    <s v="Current Employees"/>
    <x v="3"/>
    <x v="4"/>
    <s v="STAFF-901"/>
    <n v="901"/>
    <x v="0"/>
    <x v="2"/>
    <x v="1"/>
    <s v="No"/>
    <n v="28"/>
    <n v="160705"/>
    <n v="1"/>
    <n v="2"/>
    <n v="15"/>
    <n v="37"/>
    <n v="0"/>
    <n v="2"/>
    <n v="4"/>
    <n v="7"/>
    <x v="4"/>
    <m/>
  </r>
  <r>
    <x v="0"/>
    <s v="Travel_Rarely"/>
    <x v="1"/>
    <s v="Current Employees"/>
    <x v="3"/>
    <x v="5"/>
    <s v="STAFF-902"/>
    <n v="902"/>
    <x v="0"/>
    <x v="0"/>
    <x v="2"/>
    <s v="No"/>
    <n v="41"/>
    <n v="120063"/>
    <n v="1"/>
    <n v="4"/>
    <n v="32"/>
    <n v="26"/>
    <n v="6"/>
    <n v="1"/>
    <n v="3"/>
    <n v="30"/>
    <x v="4"/>
    <m/>
  </r>
  <r>
    <x v="0"/>
    <s v="Non-Travel"/>
    <x v="0"/>
    <s v="Current Employees"/>
    <x v="4"/>
    <x v="4"/>
    <s v="STAFF-903"/>
    <n v="903"/>
    <x v="1"/>
    <x v="7"/>
    <x v="2"/>
    <s v="Yes"/>
    <n v="59"/>
    <n v="155329"/>
    <n v="1"/>
    <n v="2"/>
    <n v="24"/>
    <n v="21"/>
    <n v="3"/>
    <n v="4"/>
    <n v="4"/>
    <n v="24"/>
    <x v="3"/>
    <m/>
  </r>
  <r>
    <x v="0"/>
    <s v="Travel_Frequently"/>
    <x v="2"/>
    <s v="Current Employees"/>
    <x v="5"/>
    <x v="4"/>
    <s v="STAFF-904"/>
    <n v="904"/>
    <x v="0"/>
    <x v="7"/>
    <x v="1"/>
    <s v="No"/>
    <n v="29"/>
    <n v="33189"/>
    <n v="1"/>
    <n v="3"/>
    <n v="38"/>
    <n v="4"/>
    <n v="6"/>
    <n v="1"/>
    <n v="4"/>
    <n v="4"/>
    <x v="0"/>
    <m/>
  </r>
  <r>
    <x v="0"/>
    <s v="Travel_Frequently"/>
    <x v="1"/>
    <s v="Current Employees"/>
    <x v="2"/>
    <x v="2"/>
    <s v="STAFF-905"/>
    <n v="905"/>
    <x v="0"/>
    <x v="2"/>
    <x v="2"/>
    <s v="No"/>
    <n v="33"/>
    <n v="62721"/>
    <n v="2"/>
    <n v="2"/>
    <n v="38"/>
    <n v="38"/>
    <n v="4"/>
    <n v="2"/>
    <n v="3"/>
    <n v="8"/>
    <x v="2"/>
    <m/>
  </r>
  <r>
    <x v="0"/>
    <s v="Travel_Rarely"/>
    <x v="1"/>
    <s v="Current Employees"/>
    <x v="4"/>
    <x v="2"/>
    <s v="STAFF-906"/>
    <n v="906"/>
    <x v="0"/>
    <x v="8"/>
    <x v="2"/>
    <s v="No"/>
    <n v="23"/>
    <n v="114163"/>
    <n v="1"/>
    <n v="3"/>
    <n v="15"/>
    <n v="31"/>
    <n v="3"/>
    <n v="4"/>
    <n v="4"/>
    <n v="26"/>
    <x v="1"/>
    <m/>
  </r>
  <r>
    <x v="0"/>
    <s v="Travel_Rarely"/>
    <x v="0"/>
    <s v="Current Employees"/>
    <x v="5"/>
    <x v="5"/>
    <s v="STAFF-907"/>
    <n v="907"/>
    <x v="0"/>
    <x v="5"/>
    <x v="2"/>
    <s v="Yes"/>
    <n v="54"/>
    <n v="71262"/>
    <n v="3"/>
    <n v="4"/>
    <n v="25"/>
    <n v="38"/>
    <n v="0"/>
    <n v="1"/>
    <n v="4"/>
    <n v="5"/>
    <x v="2"/>
    <m/>
  </r>
  <r>
    <x v="0"/>
    <s v="Travel_Rarely"/>
    <x v="4"/>
    <s v="Current Employees"/>
    <x v="3"/>
    <x v="0"/>
    <s v="STAFF-908"/>
    <n v="908"/>
    <x v="0"/>
    <x v="8"/>
    <x v="1"/>
    <s v="No"/>
    <n v="24"/>
    <n v="130667"/>
    <n v="2"/>
    <n v="4"/>
    <n v="36"/>
    <n v="6"/>
    <n v="3"/>
    <n v="4"/>
    <n v="4"/>
    <n v="25"/>
    <x v="0"/>
    <m/>
  </r>
  <r>
    <x v="0"/>
    <s v="Non-Travel"/>
    <x v="1"/>
    <s v="Current Employees"/>
    <x v="3"/>
    <x v="2"/>
    <s v="STAFF-909"/>
    <n v="909"/>
    <x v="1"/>
    <x v="5"/>
    <x v="2"/>
    <s v="Yes"/>
    <n v="40"/>
    <n v="163366"/>
    <n v="1"/>
    <n v="4"/>
    <n v="12"/>
    <n v="21"/>
    <n v="2"/>
    <n v="2"/>
    <n v="4"/>
    <n v="28"/>
    <x v="0"/>
    <m/>
  </r>
  <r>
    <x v="0"/>
    <s v="Travel_Rarely"/>
    <x v="2"/>
    <s v="Current Employees"/>
    <x v="1"/>
    <x v="0"/>
    <s v="STAFF-910"/>
    <n v="910"/>
    <x v="0"/>
    <x v="1"/>
    <x v="0"/>
    <s v="Yes"/>
    <n v="24"/>
    <n v="44863"/>
    <n v="3"/>
    <n v="4"/>
    <n v="1"/>
    <n v="38"/>
    <n v="6"/>
    <n v="1"/>
    <n v="4"/>
    <n v="19"/>
    <x v="0"/>
    <m/>
  </r>
  <r>
    <x v="0"/>
    <s v="Non-Travel"/>
    <x v="4"/>
    <s v="Current Employees"/>
    <x v="0"/>
    <x v="0"/>
    <s v="STAFF-911"/>
    <n v="911"/>
    <x v="0"/>
    <x v="9"/>
    <x v="1"/>
    <s v="Yes"/>
    <n v="46"/>
    <n v="174722"/>
    <n v="4"/>
    <n v="4"/>
    <n v="18"/>
    <n v="35"/>
    <n v="5"/>
    <n v="4"/>
    <n v="3"/>
    <n v="29"/>
    <x v="0"/>
    <m/>
  </r>
  <r>
    <x v="0"/>
    <s v="Non-Travel"/>
    <x v="2"/>
    <s v="Current Employees"/>
    <x v="0"/>
    <x v="5"/>
    <s v="STAFF-912"/>
    <n v="912"/>
    <x v="0"/>
    <x v="6"/>
    <x v="1"/>
    <s v="Yes"/>
    <n v="39"/>
    <n v="23576"/>
    <n v="3"/>
    <n v="2"/>
    <n v="11"/>
    <n v="12"/>
    <n v="0"/>
    <n v="2"/>
    <n v="3"/>
    <n v="10"/>
    <x v="4"/>
    <m/>
  </r>
  <r>
    <x v="0"/>
    <s v="Non-Travel"/>
    <x v="1"/>
    <s v="Current Employees"/>
    <x v="2"/>
    <x v="4"/>
    <s v="STAFF-913"/>
    <n v="913"/>
    <x v="1"/>
    <x v="2"/>
    <x v="0"/>
    <s v="Yes"/>
    <n v="56"/>
    <n v="141988"/>
    <n v="2"/>
    <n v="4"/>
    <n v="40"/>
    <n v="7"/>
    <n v="3"/>
    <n v="4"/>
    <n v="3"/>
    <n v="21"/>
    <x v="2"/>
    <m/>
  </r>
  <r>
    <x v="0"/>
    <s v="Non-Travel"/>
    <x v="1"/>
    <s v="Current Employees"/>
    <x v="2"/>
    <x v="0"/>
    <s v="STAFF-914"/>
    <n v="914"/>
    <x v="0"/>
    <x v="1"/>
    <x v="0"/>
    <s v="No"/>
    <n v="36"/>
    <n v="154369"/>
    <n v="2"/>
    <n v="1"/>
    <n v="18"/>
    <n v="0"/>
    <n v="2"/>
    <n v="4"/>
    <n v="3"/>
    <n v="5"/>
    <x v="0"/>
    <m/>
  </r>
  <r>
    <x v="0"/>
    <s v="Travel_Rarely"/>
    <x v="1"/>
    <s v="Current Employees"/>
    <x v="2"/>
    <x v="5"/>
    <s v="STAFF-915"/>
    <n v="915"/>
    <x v="1"/>
    <x v="4"/>
    <x v="0"/>
    <s v="Yes"/>
    <n v="48"/>
    <n v="87740"/>
    <n v="1"/>
    <n v="4"/>
    <n v="36"/>
    <n v="24"/>
    <n v="2"/>
    <n v="4"/>
    <n v="3"/>
    <n v="30"/>
    <x v="4"/>
    <m/>
  </r>
  <r>
    <x v="0"/>
    <s v="Travel_Rarely"/>
    <x v="2"/>
    <s v="Current Employees"/>
    <x v="1"/>
    <x v="3"/>
    <s v="STAFF-916"/>
    <n v="916"/>
    <x v="0"/>
    <x v="3"/>
    <x v="0"/>
    <s v="No"/>
    <n v="57"/>
    <n v="106303"/>
    <n v="1"/>
    <n v="3"/>
    <n v="12"/>
    <n v="17"/>
    <n v="3"/>
    <n v="2"/>
    <n v="3"/>
    <n v="19"/>
    <x v="3"/>
    <m/>
  </r>
  <r>
    <x v="1"/>
    <s v="Travel_Rarely"/>
    <x v="1"/>
    <s v="Ex-Employees"/>
    <x v="4"/>
    <x v="0"/>
    <s v="STAFF-917"/>
    <n v="917"/>
    <x v="1"/>
    <x v="3"/>
    <x v="2"/>
    <s v="Yes"/>
    <n v="53"/>
    <n v="131835"/>
    <n v="4"/>
    <n v="4"/>
    <n v="4"/>
    <n v="3"/>
    <n v="0"/>
    <n v="4"/>
    <n v="3"/>
    <n v="3"/>
    <x v="1"/>
    <m/>
  </r>
  <r>
    <x v="0"/>
    <s v="Travel_Rarely"/>
    <x v="4"/>
    <s v="Current Employees"/>
    <x v="0"/>
    <x v="4"/>
    <s v="STAFF-918"/>
    <n v="918"/>
    <x v="0"/>
    <x v="7"/>
    <x v="0"/>
    <s v="Yes"/>
    <n v="60"/>
    <n v="91202"/>
    <n v="1"/>
    <n v="3"/>
    <n v="40"/>
    <n v="38"/>
    <n v="0"/>
    <n v="3"/>
    <n v="3"/>
    <n v="15"/>
    <x v="2"/>
    <m/>
  </r>
  <r>
    <x v="0"/>
    <s v="Travel_Rarely"/>
    <x v="4"/>
    <s v="Current Employees"/>
    <x v="2"/>
    <x v="1"/>
    <s v="STAFF-919"/>
    <n v="919"/>
    <x v="1"/>
    <x v="7"/>
    <x v="0"/>
    <s v="Yes"/>
    <n v="24"/>
    <n v="114563"/>
    <n v="2"/>
    <n v="3"/>
    <n v="17"/>
    <n v="1"/>
    <n v="3"/>
    <n v="4"/>
    <n v="4"/>
    <n v="20"/>
    <x v="3"/>
    <m/>
  </r>
  <r>
    <x v="0"/>
    <s v="Travel_Rarely"/>
    <x v="0"/>
    <s v="Current Employees"/>
    <x v="1"/>
    <x v="3"/>
    <s v="STAFF-920"/>
    <n v="920"/>
    <x v="1"/>
    <x v="7"/>
    <x v="0"/>
    <s v="Yes"/>
    <n v="59"/>
    <n v="53964"/>
    <n v="3"/>
    <n v="1"/>
    <n v="35"/>
    <n v="5"/>
    <n v="5"/>
    <n v="4"/>
    <n v="4"/>
    <n v="30"/>
    <x v="2"/>
    <m/>
  </r>
  <r>
    <x v="1"/>
    <s v="Non-Travel"/>
    <x v="3"/>
    <s v="Ex-Employees"/>
    <x v="2"/>
    <x v="1"/>
    <s v="STAFF-921"/>
    <n v="921"/>
    <x v="0"/>
    <x v="8"/>
    <x v="2"/>
    <s v="No"/>
    <n v="54"/>
    <n v="157863"/>
    <n v="3"/>
    <n v="1"/>
    <n v="12"/>
    <n v="12"/>
    <n v="1"/>
    <n v="4"/>
    <n v="3"/>
    <n v="3"/>
    <x v="4"/>
    <m/>
  </r>
  <r>
    <x v="1"/>
    <s v="Travel_Rarely"/>
    <x v="1"/>
    <s v="Ex-Employees"/>
    <x v="5"/>
    <x v="0"/>
    <s v="STAFF-922"/>
    <n v="922"/>
    <x v="1"/>
    <x v="7"/>
    <x v="2"/>
    <s v="No"/>
    <n v="55"/>
    <n v="38748"/>
    <n v="4"/>
    <n v="1"/>
    <n v="13"/>
    <n v="10"/>
    <n v="5"/>
    <n v="1"/>
    <n v="3"/>
    <n v="20"/>
    <x v="4"/>
    <m/>
  </r>
  <r>
    <x v="0"/>
    <s v="Travel_Rarely"/>
    <x v="1"/>
    <s v="Current Employees"/>
    <x v="1"/>
    <x v="1"/>
    <s v="STAFF-923"/>
    <n v="923"/>
    <x v="1"/>
    <x v="6"/>
    <x v="1"/>
    <s v="No"/>
    <n v="55"/>
    <n v="168322"/>
    <n v="3"/>
    <n v="4"/>
    <n v="7"/>
    <n v="12"/>
    <n v="1"/>
    <n v="4"/>
    <n v="3"/>
    <n v="29"/>
    <x v="0"/>
    <m/>
  </r>
  <r>
    <x v="0"/>
    <s v="Non-Travel"/>
    <x v="1"/>
    <s v="Current Employees"/>
    <x v="4"/>
    <x v="0"/>
    <s v="STAFF-924"/>
    <n v="924"/>
    <x v="1"/>
    <x v="5"/>
    <x v="2"/>
    <s v="No"/>
    <n v="39"/>
    <n v="151763"/>
    <n v="1"/>
    <n v="1"/>
    <n v="27"/>
    <n v="17"/>
    <n v="2"/>
    <n v="1"/>
    <n v="3"/>
    <n v="15"/>
    <x v="4"/>
    <m/>
  </r>
  <r>
    <x v="0"/>
    <s v="Travel_Frequently"/>
    <x v="4"/>
    <s v="Current Employees"/>
    <x v="1"/>
    <x v="1"/>
    <s v="STAFF-925"/>
    <n v="925"/>
    <x v="0"/>
    <x v="6"/>
    <x v="1"/>
    <s v="No"/>
    <n v="53"/>
    <n v="62647"/>
    <n v="2"/>
    <n v="1"/>
    <n v="0"/>
    <n v="10"/>
    <n v="5"/>
    <n v="1"/>
    <n v="4"/>
    <n v="29"/>
    <x v="0"/>
    <m/>
  </r>
  <r>
    <x v="0"/>
    <s v="Travel_Rarely"/>
    <x v="1"/>
    <s v="Current Employees"/>
    <x v="5"/>
    <x v="2"/>
    <s v="STAFF-926"/>
    <n v="926"/>
    <x v="1"/>
    <x v="6"/>
    <x v="0"/>
    <s v="No"/>
    <n v="52"/>
    <n v="176988"/>
    <n v="4"/>
    <n v="2"/>
    <n v="27"/>
    <n v="14"/>
    <n v="6"/>
    <n v="2"/>
    <n v="3"/>
    <n v="28"/>
    <x v="0"/>
    <m/>
  </r>
  <r>
    <x v="0"/>
    <s v="Travel_Frequently"/>
    <x v="2"/>
    <s v="Current Employees"/>
    <x v="0"/>
    <x v="4"/>
    <s v="STAFF-927"/>
    <n v="927"/>
    <x v="1"/>
    <x v="3"/>
    <x v="0"/>
    <s v="No"/>
    <n v="22"/>
    <n v="147191"/>
    <n v="4"/>
    <n v="4"/>
    <n v="7"/>
    <n v="29"/>
    <n v="3"/>
    <n v="1"/>
    <n v="4"/>
    <n v="28"/>
    <x v="2"/>
    <m/>
  </r>
  <r>
    <x v="0"/>
    <s v="Travel_Rarely"/>
    <x v="1"/>
    <s v="Current Employees"/>
    <x v="3"/>
    <x v="2"/>
    <s v="STAFF-928"/>
    <n v="928"/>
    <x v="0"/>
    <x v="7"/>
    <x v="0"/>
    <s v="Yes"/>
    <n v="26"/>
    <n v="62810"/>
    <n v="2"/>
    <n v="2"/>
    <n v="40"/>
    <n v="22"/>
    <n v="2"/>
    <n v="2"/>
    <n v="3"/>
    <n v="13"/>
    <x v="3"/>
    <m/>
  </r>
  <r>
    <x v="0"/>
    <s v="Travel_Rarely"/>
    <x v="1"/>
    <s v="Current Employees"/>
    <x v="1"/>
    <x v="3"/>
    <s v="STAFF-929"/>
    <n v="929"/>
    <x v="1"/>
    <x v="7"/>
    <x v="0"/>
    <s v="Yes"/>
    <n v="25"/>
    <n v="155058"/>
    <n v="2"/>
    <n v="1"/>
    <n v="36"/>
    <n v="8"/>
    <n v="2"/>
    <n v="4"/>
    <n v="4"/>
    <n v="25"/>
    <x v="0"/>
    <m/>
  </r>
  <r>
    <x v="1"/>
    <s v="Non-Travel"/>
    <x v="2"/>
    <s v="Ex-Employees"/>
    <x v="2"/>
    <x v="2"/>
    <s v="STAFF-930"/>
    <n v="930"/>
    <x v="0"/>
    <x v="7"/>
    <x v="0"/>
    <s v="No"/>
    <n v="55"/>
    <n v="22237"/>
    <n v="2"/>
    <n v="2"/>
    <n v="2"/>
    <n v="21"/>
    <n v="6"/>
    <n v="1"/>
    <n v="3"/>
    <n v="22"/>
    <x v="0"/>
    <m/>
  </r>
  <r>
    <x v="0"/>
    <s v="Non-Travel"/>
    <x v="2"/>
    <s v="Current Employees"/>
    <x v="5"/>
    <x v="2"/>
    <s v="STAFF-931"/>
    <n v="931"/>
    <x v="1"/>
    <x v="6"/>
    <x v="1"/>
    <s v="No"/>
    <n v="60"/>
    <n v="152271"/>
    <n v="1"/>
    <n v="1"/>
    <n v="18"/>
    <n v="22"/>
    <n v="3"/>
    <n v="4"/>
    <n v="3"/>
    <n v="23"/>
    <x v="2"/>
    <m/>
  </r>
  <r>
    <x v="0"/>
    <s v="Non-Travel"/>
    <x v="4"/>
    <s v="Current Employees"/>
    <x v="3"/>
    <x v="5"/>
    <s v="STAFF-932"/>
    <n v="932"/>
    <x v="1"/>
    <x v="7"/>
    <x v="1"/>
    <s v="Yes"/>
    <n v="55"/>
    <n v="66958"/>
    <n v="1"/>
    <n v="4"/>
    <n v="17"/>
    <n v="24"/>
    <n v="6"/>
    <n v="1"/>
    <n v="3"/>
    <n v="24"/>
    <x v="2"/>
    <m/>
  </r>
  <r>
    <x v="0"/>
    <s v="Non-Travel"/>
    <x v="2"/>
    <s v="Current Employees"/>
    <x v="1"/>
    <x v="0"/>
    <s v="STAFF-933"/>
    <n v="933"/>
    <x v="1"/>
    <x v="4"/>
    <x v="1"/>
    <s v="Yes"/>
    <n v="29"/>
    <n v="101916"/>
    <n v="2"/>
    <n v="4"/>
    <n v="2"/>
    <n v="41"/>
    <n v="4"/>
    <n v="3"/>
    <n v="3"/>
    <n v="13"/>
    <x v="4"/>
    <m/>
  </r>
  <r>
    <x v="0"/>
    <s v="Travel_Rarely"/>
    <x v="4"/>
    <s v="Current Employees"/>
    <x v="0"/>
    <x v="3"/>
    <s v="STAFF-934"/>
    <n v="934"/>
    <x v="1"/>
    <x v="5"/>
    <x v="0"/>
    <s v="No"/>
    <n v="45"/>
    <n v="117860"/>
    <n v="3"/>
    <n v="4"/>
    <n v="36"/>
    <n v="2"/>
    <n v="0"/>
    <n v="1"/>
    <n v="3"/>
    <n v="9"/>
    <x v="0"/>
    <m/>
  </r>
  <r>
    <x v="0"/>
    <s v="Travel_Frequently"/>
    <x v="2"/>
    <s v="Current Employees"/>
    <x v="0"/>
    <x v="2"/>
    <s v="STAFF-935"/>
    <n v="935"/>
    <x v="0"/>
    <x v="4"/>
    <x v="1"/>
    <s v="No"/>
    <n v="58"/>
    <n v="121302"/>
    <n v="2"/>
    <n v="2"/>
    <n v="22"/>
    <n v="39"/>
    <n v="2"/>
    <n v="2"/>
    <n v="3"/>
    <n v="21"/>
    <x v="4"/>
    <m/>
  </r>
  <r>
    <x v="0"/>
    <s v="Travel_Frequently"/>
    <x v="2"/>
    <s v="Current Employees"/>
    <x v="0"/>
    <x v="0"/>
    <s v="STAFF-936"/>
    <n v="936"/>
    <x v="0"/>
    <x v="4"/>
    <x v="0"/>
    <s v="Yes"/>
    <n v="42"/>
    <n v="124142"/>
    <n v="2"/>
    <n v="3"/>
    <n v="5"/>
    <n v="20"/>
    <n v="1"/>
    <n v="3"/>
    <n v="4"/>
    <n v="6"/>
    <x v="3"/>
    <m/>
  </r>
  <r>
    <x v="0"/>
    <s v="Travel_Frequently"/>
    <x v="3"/>
    <s v="Current Employees"/>
    <x v="3"/>
    <x v="1"/>
    <s v="STAFF-937"/>
    <n v="937"/>
    <x v="0"/>
    <x v="3"/>
    <x v="1"/>
    <s v="No"/>
    <n v="27"/>
    <n v="76603"/>
    <n v="1"/>
    <n v="4"/>
    <n v="23"/>
    <n v="23"/>
    <n v="0"/>
    <n v="4"/>
    <n v="4"/>
    <n v="13"/>
    <x v="0"/>
    <m/>
  </r>
  <r>
    <x v="0"/>
    <s v="Non-Travel"/>
    <x v="2"/>
    <s v="Current Employees"/>
    <x v="1"/>
    <x v="2"/>
    <s v="STAFF-938"/>
    <n v="938"/>
    <x v="1"/>
    <x v="3"/>
    <x v="2"/>
    <s v="Yes"/>
    <n v="40"/>
    <n v="49451"/>
    <n v="1"/>
    <n v="1"/>
    <n v="30"/>
    <n v="38"/>
    <n v="3"/>
    <n v="2"/>
    <n v="3"/>
    <n v="7"/>
    <x v="0"/>
    <m/>
  </r>
  <r>
    <x v="0"/>
    <s v="Travel_Frequently"/>
    <x v="1"/>
    <s v="Current Employees"/>
    <x v="3"/>
    <x v="4"/>
    <s v="STAFF-939"/>
    <n v="939"/>
    <x v="0"/>
    <x v="1"/>
    <x v="2"/>
    <s v="No"/>
    <n v="40"/>
    <n v="41123"/>
    <n v="3"/>
    <n v="3"/>
    <n v="29"/>
    <n v="6"/>
    <n v="2"/>
    <n v="3"/>
    <n v="3"/>
    <n v="4"/>
    <x v="4"/>
    <m/>
  </r>
  <r>
    <x v="0"/>
    <s v="Travel_Frequently"/>
    <x v="1"/>
    <s v="Current Employees"/>
    <x v="3"/>
    <x v="5"/>
    <s v="STAFF-940"/>
    <n v="940"/>
    <x v="0"/>
    <x v="3"/>
    <x v="1"/>
    <s v="No"/>
    <n v="41"/>
    <n v="30004"/>
    <n v="1"/>
    <n v="3"/>
    <n v="9"/>
    <n v="41"/>
    <n v="6"/>
    <n v="1"/>
    <n v="4"/>
    <n v="25"/>
    <x v="1"/>
    <m/>
  </r>
  <r>
    <x v="0"/>
    <s v="Travel_Frequently"/>
    <x v="1"/>
    <s v="Current Employees"/>
    <x v="1"/>
    <x v="1"/>
    <s v="STAFF-941"/>
    <n v="941"/>
    <x v="0"/>
    <x v="2"/>
    <x v="0"/>
    <s v="No"/>
    <n v="56"/>
    <n v="33765"/>
    <n v="2"/>
    <n v="4"/>
    <n v="0"/>
    <n v="17"/>
    <n v="2"/>
    <n v="2"/>
    <n v="3"/>
    <n v="28"/>
    <x v="0"/>
    <m/>
  </r>
  <r>
    <x v="0"/>
    <s v="Travel_Frequently"/>
    <x v="4"/>
    <s v="Current Employees"/>
    <x v="0"/>
    <x v="0"/>
    <s v="STAFF-942"/>
    <n v="942"/>
    <x v="0"/>
    <x v="1"/>
    <x v="0"/>
    <s v="No"/>
    <n v="47"/>
    <n v="33301"/>
    <n v="3"/>
    <n v="4"/>
    <n v="28"/>
    <n v="34"/>
    <n v="3"/>
    <n v="3"/>
    <n v="4"/>
    <n v="28"/>
    <x v="4"/>
    <m/>
  </r>
  <r>
    <x v="0"/>
    <s v="Travel_Frequently"/>
    <x v="2"/>
    <s v="Current Employees"/>
    <x v="2"/>
    <x v="3"/>
    <s v="STAFF-943"/>
    <n v="943"/>
    <x v="1"/>
    <x v="4"/>
    <x v="0"/>
    <s v="No"/>
    <n v="58"/>
    <n v="128615"/>
    <n v="3"/>
    <n v="3"/>
    <n v="39"/>
    <n v="18"/>
    <n v="1"/>
    <n v="2"/>
    <n v="4"/>
    <n v="20"/>
    <x v="1"/>
    <m/>
  </r>
  <r>
    <x v="1"/>
    <s v="Travel_Frequently"/>
    <x v="4"/>
    <s v="Ex-Employees"/>
    <x v="1"/>
    <x v="4"/>
    <s v="STAFF-944"/>
    <n v="944"/>
    <x v="0"/>
    <x v="5"/>
    <x v="2"/>
    <s v="Yes"/>
    <n v="30"/>
    <n v="98436"/>
    <n v="3"/>
    <n v="2"/>
    <n v="37"/>
    <n v="41"/>
    <n v="1"/>
    <n v="1"/>
    <n v="3"/>
    <n v="5"/>
    <x v="1"/>
    <m/>
  </r>
  <r>
    <x v="0"/>
    <s v="Travel_Rarely"/>
    <x v="4"/>
    <s v="Current Employees"/>
    <x v="4"/>
    <x v="4"/>
    <s v="STAFF-945"/>
    <n v="945"/>
    <x v="1"/>
    <x v="1"/>
    <x v="1"/>
    <s v="Yes"/>
    <n v="54"/>
    <n v="71501"/>
    <n v="4"/>
    <n v="2"/>
    <n v="6"/>
    <n v="18"/>
    <n v="2"/>
    <n v="3"/>
    <n v="4"/>
    <n v="13"/>
    <x v="0"/>
    <m/>
  </r>
  <r>
    <x v="0"/>
    <s v="Travel_Frequently"/>
    <x v="2"/>
    <s v="Current Employees"/>
    <x v="3"/>
    <x v="3"/>
    <s v="STAFF-946"/>
    <n v="946"/>
    <x v="0"/>
    <x v="7"/>
    <x v="1"/>
    <s v="No"/>
    <n v="39"/>
    <n v="126338"/>
    <n v="2"/>
    <n v="1"/>
    <n v="8"/>
    <n v="23"/>
    <n v="6"/>
    <n v="2"/>
    <n v="4"/>
    <n v="10"/>
    <x v="4"/>
    <m/>
  </r>
  <r>
    <x v="1"/>
    <s v="Travel_Rarely"/>
    <x v="0"/>
    <s v="Ex-Employees"/>
    <x v="3"/>
    <x v="3"/>
    <s v="STAFF-947"/>
    <n v="947"/>
    <x v="0"/>
    <x v="6"/>
    <x v="2"/>
    <s v="Yes"/>
    <n v="29"/>
    <n v="70476"/>
    <n v="2"/>
    <n v="1"/>
    <n v="40"/>
    <n v="19"/>
    <n v="4"/>
    <n v="1"/>
    <n v="3"/>
    <n v="13"/>
    <x v="1"/>
    <m/>
  </r>
  <r>
    <x v="1"/>
    <s v="Travel_Frequently"/>
    <x v="2"/>
    <s v="Ex-Employees"/>
    <x v="1"/>
    <x v="5"/>
    <s v="STAFF-948"/>
    <n v="948"/>
    <x v="0"/>
    <x v="3"/>
    <x v="0"/>
    <s v="No"/>
    <n v="43"/>
    <n v="24350"/>
    <n v="2"/>
    <n v="4"/>
    <n v="25"/>
    <n v="33"/>
    <n v="5"/>
    <n v="1"/>
    <n v="4"/>
    <n v="6"/>
    <x v="4"/>
    <m/>
  </r>
  <r>
    <x v="1"/>
    <s v="Travel_Frequently"/>
    <x v="2"/>
    <s v="Ex-Employees"/>
    <x v="0"/>
    <x v="3"/>
    <s v="STAFF-949"/>
    <n v="949"/>
    <x v="1"/>
    <x v="4"/>
    <x v="0"/>
    <s v="No"/>
    <n v="51"/>
    <n v="53564"/>
    <n v="4"/>
    <n v="2"/>
    <n v="36"/>
    <n v="2"/>
    <n v="2"/>
    <n v="2"/>
    <n v="3"/>
    <n v="17"/>
    <x v="2"/>
    <m/>
  </r>
  <r>
    <x v="0"/>
    <s v="Non-Travel"/>
    <x v="2"/>
    <s v="Current Employees"/>
    <x v="3"/>
    <x v="4"/>
    <s v="STAFF-950"/>
    <n v="950"/>
    <x v="1"/>
    <x v="5"/>
    <x v="0"/>
    <s v="Yes"/>
    <n v="49"/>
    <n v="49701"/>
    <n v="4"/>
    <n v="2"/>
    <n v="4"/>
    <n v="29"/>
    <n v="5"/>
    <n v="2"/>
    <n v="3"/>
    <n v="15"/>
    <x v="4"/>
    <m/>
  </r>
  <r>
    <x v="1"/>
    <s v="Travel_Rarely"/>
    <x v="2"/>
    <s v="Ex-Employees"/>
    <x v="3"/>
    <x v="2"/>
    <s v="STAFF-951"/>
    <n v="951"/>
    <x v="0"/>
    <x v="6"/>
    <x v="2"/>
    <s v="Yes"/>
    <n v="47"/>
    <n v="62877"/>
    <n v="1"/>
    <n v="4"/>
    <n v="20"/>
    <n v="42"/>
    <n v="6"/>
    <n v="1"/>
    <n v="4"/>
    <n v="8"/>
    <x v="0"/>
    <m/>
  </r>
  <r>
    <x v="0"/>
    <s v="Travel_Frequently"/>
    <x v="1"/>
    <s v="Current Employees"/>
    <x v="3"/>
    <x v="3"/>
    <s v="STAFF-952"/>
    <n v="952"/>
    <x v="1"/>
    <x v="3"/>
    <x v="0"/>
    <s v="Yes"/>
    <n v="41"/>
    <n v="163737"/>
    <n v="3"/>
    <n v="3"/>
    <n v="26"/>
    <n v="7"/>
    <n v="3"/>
    <n v="4"/>
    <n v="4"/>
    <n v="8"/>
    <x v="4"/>
    <m/>
  </r>
  <r>
    <x v="0"/>
    <s v="Non-Travel"/>
    <x v="1"/>
    <s v="Current Employees"/>
    <x v="4"/>
    <x v="2"/>
    <s v="STAFF-953"/>
    <n v="953"/>
    <x v="1"/>
    <x v="8"/>
    <x v="0"/>
    <s v="No"/>
    <n v="60"/>
    <n v="48534"/>
    <n v="2"/>
    <n v="4"/>
    <n v="38"/>
    <n v="37"/>
    <n v="3"/>
    <n v="1"/>
    <n v="3"/>
    <n v="19"/>
    <x v="4"/>
    <m/>
  </r>
  <r>
    <x v="0"/>
    <s v="Travel_Rarely"/>
    <x v="1"/>
    <s v="Current Employees"/>
    <x v="0"/>
    <x v="3"/>
    <s v="STAFF-954"/>
    <n v="954"/>
    <x v="1"/>
    <x v="4"/>
    <x v="1"/>
    <s v="Yes"/>
    <n v="34"/>
    <n v="146536"/>
    <n v="3"/>
    <n v="2"/>
    <n v="37"/>
    <n v="35"/>
    <n v="4"/>
    <n v="2"/>
    <n v="3"/>
    <n v="5"/>
    <x v="1"/>
    <m/>
  </r>
  <r>
    <x v="0"/>
    <s v="Travel_Rarely"/>
    <x v="4"/>
    <s v="Current Employees"/>
    <x v="4"/>
    <x v="2"/>
    <s v="STAFF-955"/>
    <n v="955"/>
    <x v="1"/>
    <x v="5"/>
    <x v="0"/>
    <s v="Yes"/>
    <n v="32"/>
    <n v="27871"/>
    <n v="1"/>
    <n v="3"/>
    <n v="35"/>
    <n v="31"/>
    <n v="4"/>
    <n v="4"/>
    <n v="4"/>
    <n v="12"/>
    <x v="4"/>
    <m/>
  </r>
  <r>
    <x v="0"/>
    <s v="Non-Travel"/>
    <x v="2"/>
    <s v="Current Employees"/>
    <x v="0"/>
    <x v="1"/>
    <s v="STAFF-956"/>
    <n v="956"/>
    <x v="1"/>
    <x v="6"/>
    <x v="2"/>
    <s v="No"/>
    <n v="24"/>
    <n v="28600"/>
    <n v="2"/>
    <n v="1"/>
    <n v="17"/>
    <n v="19"/>
    <n v="1"/>
    <n v="4"/>
    <n v="3"/>
    <n v="27"/>
    <x v="0"/>
    <m/>
  </r>
  <r>
    <x v="1"/>
    <s v="Travel_Frequently"/>
    <x v="2"/>
    <s v="Ex-Employees"/>
    <x v="4"/>
    <x v="4"/>
    <s v="STAFF-957"/>
    <n v="957"/>
    <x v="1"/>
    <x v="6"/>
    <x v="2"/>
    <s v="Yes"/>
    <n v="22"/>
    <n v="57115"/>
    <n v="2"/>
    <n v="3"/>
    <n v="1"/>
    <n v="5"/>
    <n v="2"/>
    <n v="2"/>
    <n v="4"/>
    <n v="9"/>
    <x v="0"/>
    <m/>
  </r>
  <r>
    <x v="0"/>
    <s v="Travel_Rarely"/>
    <x v="2"/>
    <s v="Current Employees"/>
    <x v="3"/>
    <x v="1"/>
    <s v="STAFF-958"/>
    <n v="958"/>
    <x v="1"/>
    <x v="9"/>
    <x v="2"/>
    <s v="Yes"/>
    <n v="58"/>
    <n v="149036"/>
    <n v="1"/>
    <n v="1"/>
    <n v="9"/>
    <n v="25"/>
    <n v="0"/>
    <n v="2"/>
    <n v="3"/>
    <n v="4"/>
    <x v="4"/>
    <m/>
  </r>
  <r>
    <x v="0"/>
    <s v="Travel_Frequently"/>
    <x v="4"/>
    <s v="Current Employees"/>
    <x v="5"/>
    <x v="5"/>
    <s v="STAFF-959"/>
    <n v="959"/>
    <x v="1"/>
    <x v="6"/>
    <x v="2"/>
    <s v="Yes"/>
    <n v="59"/>
    <n v="41392"/>
    <n v="1"/>
    <n v="1"/>
    <n v="24"/>
    <n v="25"/>
    <n v="0"/>
    <n v="2"/>
    <n v="3"/>
    <n v="2"/>
    <x v="1"/>
    <m/>
  </r>
  <r>
    <x v="0"/>
    <s v="Non-Travel"/>
    <x v="0"/>
    <s v="Current Employees"/>
    <x v="3"/>
    <x v="2"/>
    <s v="STAFF-960"/>
    <n v="960"/>
    <x v="1"/>
    <x v="3"/>
    <x v="2"/>
    <s v="Yes"/>
    <n v="23"/>
    <n v="94968"/>
    <n v="2"/>
    <n v="4"/>
    <n v="24"/>
    <n v="21"/>
    <n v="1"/>
    <n v="1"/>
    <n v="3"/>
    <n v="15"/>
    <x v="3"/>
    <m/>
  </r>
  <r>
    <x v="0"/>
    <s v="Travel_Rarely"/>
    <x v="1"/>
    <s v="Current Employees"/>
    <x v="0"/>
    <x v="4"/>
    <s v="STAFF-961"/>
    <n v="961"/>
    <x v="0"/>
    <x v="8"/>
    <x v="2"/>
    <s v="No"/>
    <n v="54"/>
    <n v="54860"/>
    <n v="3"/>
    <n v="1"/>
    <n v="36"/>
    <n v="42"/>
    <n v="2"/>
    <n v="2"/>
    <n v="3"/>
    <n v="20"/>
    <x v="3"/>
    <m/>
  </r>
  <r>
    <x v="0"/>
    <s v="Travel_Rarely"/>
    <x v="0"/>
    <s v="Current Employees"/>
    <x v="2"/>
    <x v="3"/>
    <s v="STAFF-962"/>
    <n v="962"/>
    <x v="1"/>
    <x v="1"/>
    <x v="0"/>
    <s v="No"/>
    <n v="25"/>
    <n v="18324"/>
    <n v="2"/>
    <n v="3"/>
    <n v="8"/>
    <n v="37"/>
    <n v="3"/>
    <n v="1"/>
    <n v="3"/>
    <n v="8"/>
    <x v="2"/>
    <m/>
  </r>
  <r>
    <x v="0"/>
    <s v="Travel_Frequently"/>
    <x v="1"/>
    <s v="Current Employees"/>
    <x v="1"/>
    <x v="1"/>
    <s v="STAFF-963"/>
    <n v="963"/>
    <x v="1"/>
    <x v="4"/>
    <x v="1"/>
    <s v="No"/>
    <n v="40"/>
    <n v="52166"/>
    <n v="2"/>
    <n v="1"/>
    <n v="16"/>
    <n v="4"/>
    <n v="5"/>
    <n v="2"/>
    <n v="3"/>
    <n v="5"/>
    <x v="2"/>
    <m/>
  </r>
  <r>
    <x v="1"/>
    <s v="Non-Travel"/>
    <x v="1"/>
    <s v="Ex-Employees"/>
    <x v="0"/>
    <x v="0"/>
    <s v="STAFF-964"/>
    <n v="964"/>
    <x v="1"/>
    <x v="3"/>
    <x v="0"/>
    <s v="No"/>
    <n v="38"/>
    <n v="33809"/>
    <n v="2"/>
    <n v="1"/>
    <n v="28"/>
    <n v="5"/>
    <n v="3"/>
    <n v="4"/>
    <n v="3"/>
    <n v="14"/>
    <x v="4"/>
    <m/>
  </r>
  <r>
    <x v="0"/>
    <s v="Non-Travel"/>
    <x v="4"/>
    <s v="Current Employees"/>
    <x v="2"/>
    <x v="4"/>
    <s v="STAFF-965"/>
    <n v="965"/>
    <x v="1"/>
    <x v="1"/>
    <x v="1"/>
    <s v="Yes"/>
    <n v="21"/>
    <n v="76153"/>
    <n v="3"/>
    <n v="1"/>
    <n v="15"/>
    <n v="3"/>
    <n v="0"/>
    <n v="1"/>
    <n v="4"/>
    <n v="30"/>
    <x v="2"/>
    <m/>
  </r>
  <r>
    <x v="1"/>
    <s v="Travel_Frequently"/>
    <x v="2"/>
    <s v="Ex-Employees"/>
    <x v="5"/>
    <x v="2"/>
    <s v="STAFF-966"/>
    <n v="966"/>
    <x v="1"/>
    <x v="8"/>
    <x v="0"/>
    <s v="Yes"/>
    <n v="44"/>
    <n v="134080"/>
    <n v="3"/>
    <n v="3"/>
    <n v="18"/>
    <n v="27"/>
    <n v="6"/>
    <n v="2"/>
    <n v="3"/>
    <n v="9"/>
    <x v="2"/>
    <m/>
  </r>
  <r>
    <x v="1"/>
    <s v="Travel_Frequently"/>
    <x v="1"/>
    <s v="Ex-Employees"/>
    <x v="0"/>
    <x v="5"/>
    <s v="STAFF-967"/>
    <n v="967"/>
    <x v="0"/>
    <x v="0"/>
    <x v="2"/>
    <s v="Yes"/>
    <n v="28"/>
    <n v="152789"/>
    <n v="1"/>
    <n v="1"/>
    <n v="13"/>
    <n v="1"/>
    <n v="6"/>
    <n v="4"/>
    <n v="3"/>
    <n v="4"/>
    <x v="2"/>
    <m/>
  </r>
  <r>
    <x v="0"/>
    <s v="Travel_Frequently"/>
    <x v="4"/>
    <s v="Current Employees"/>
    <x v="4"/>
    <x v="0"/>
    <s v="STAFF-968"/>
    <n v="968"/>
    <x v="1"/>
    <x v="4"/>
    <x v="2"/>
    <s v="Yes"/>
    <n v="54"/>
    <n v="43540"/>
    <n v="3"/>
    <n v="4"/>
    <n v="6"/>
    <n v="9"/>
    <n v="4"/>
    <n v="1"/>
    <n v="3"/>
    <n v="11"/>
    <x v="1"/>
    <m/>
  </r>
  <r>
    <x v="0"/>
    <s v="Travel_Frequently"/>
    <x v="1"/>
    <s v="Current Employees"/>
    <x v="4"/>
    <x v="5"/>
    <s v="STAFF-969"/>
    <n v="969"/>
    <x v="0"/>
    <x v="3"/>
    <x v="2"/>
    <s v="No"/>
    <n v="35"/>
    <n v="105068"/>
    <n v="1"/>
    <n v="1"/>
    <n v="18"/>
    <n v="23"/>
    <n v="4"/>
    <n v="3"/>
    <n v="4"/>
    <n v="10"/>
    <x v="4"/>
    <m/>
  </r>
  <r>
    <x v="0"/>
    <s v="Travel_Rarely"/>
    <x v="1"/>
    <s v="Current Employees"/>
    <x v="5"/>
    <x v="4"/>
    <s v="STAFF-970"/>
    <n v="970"/>
    <x v="0"/>
    <x v="2"/>
    <x v="1"/>
    <s v="Yes"/>
    <n v="43"/>
    <n v="157379"/>
    <n v="3"/>
    <n v="4"/>
    <n v="27"/>
    <n v="27"/>
    <n v="4"/>
    <n v="3"/>
    <n v="4"/>
    <n v="1"/>
    <x v="4"/>
    <m/>
  </r>
  <r>
    <x v="0"/>
    <s v="Non-Travel"/>
    <x v="0"/>
    <s v="Current Employees"/>
    <x v="3"/>
    <x v="0"/>
    <s v="STAFF-971"/>
    <n v="971"/>
    <x v="1"/>
    <x v="6"/>
    <x v="1"/>
    <s v="No"/>
    <n v="48"/>
    <n v="121186"/>
    <n v="4"/>
    <n v="2"/>
    <n v="5"/>
    <n v="22"/>
    <n v="4"/>
    <n v="1"/>
    <n v="3"/>
    <n v="27"/>
    <x v="4"/>
    <m/>
  </r>
  <r>
    <x v="0"/>
    <s v="Travel_Rarely"/>
    <x v="2"/>
    <s v="Current Employees"/>
    <x v="4"/>
    <x v="2"/>
    <s v="STAFF-972"/>
    <n v="972"/>
    <x v="1"/>
    <x v="7"/>
    <x v="1"/>
    <s v="Yes"/>
    <n v="40"/>
    <n v="104594"/>
    <n v="1"/>
    <n v="1"/>
    <n v="7"/>
    <n v="3"/>
    <n v="3"/>
    <n v="4"/>
    <n v="4"/>
    <n v="4"/>
    <x v="3"/>
    <m/>
  </r>
  <r>
    <x v="0"/>
    <s v="Non-Travel"/>
    <x v="2"/>
    <s v="Current Employees"/>
    <x v="0"/>
    <x v="0"/>
    <s v="STAFF-973"/>
    <n v="973"/>
    <x v="0"/>
    <x v="2"/>
    <x v="0"/>
    <s v="No"/>
    <n v="57"/>
    <n v="18793"/>
    <n v="3"/>
    <n v="2"/>
    <n v="4"/>
    <n v="20"/>
    <n v="6"/>
    <n v="2"/>
    <n v="3"/>
    <n v="9"/>
    <x v="0"/>
    <m/>
  </r>
  <r>
    <x v="0"/>
    <s v="Travel_Frequently"/>
    <x v="0"/>
    <s v="Current Employees"/>
    <x v="2"/>
    <x v="3"/>
    <s v="STAFF-974"/>
    <n v="974"/>
    <x v="1"/>
    <x v="7"/>
    <x v="0"/>
    <s v="No"/>
    <n v="35"/>
    <n v="35070"/>
    <n v="2"/>
    <n v="4"/>
    <n v="37"/>
    <n v="28"/>
    <n v="5"/>
    <n v="1"/>
    <n v="4"/>
    <n v="13"/>
    <x v="0"/>
    <m/>
  </r>
  <r>
    <x v="0"/>
    <s v="Travel_Frequently"/>
    <x v="1"/>
    <s v="Current Employees"/>
    <x v="1"/>
    <x v="4"/>
    <s v="STAFF-975"/>
    <n v="975"/>
    <x v="0"/>
    <x v="3"/>
    <x v="1"/>
    <s v="No"/>
    <n v="24"/>
    <n v="145145"/>
    <n v="4"/>
    <n v="3"/>
    <n v="15"/>
    <n v="14"/>
    <n v="6"/>
    <n v="2"/>
    <n v="4"/>
    <n v="14"/>
    <x v="4"/>
    <m/>
  </r>
  <r>
    <x v="0"/>
    <s v="Non-Travel"/>
    <x v="2"/>
    <s v="Current Employees"/>
    <x v="2"/>
    <x v="1"/>
    <s v="STAFF-976"/>
    <n v="976"/>
    <x v="1"/>
    <x v="2"/>
    <x v="0"/>
    <s v="Yes"/>
    <n v="60"/>
    <n v="134934"/>
    <n v="1"/>
    <n v="1"/>
    <n v="16"/>
    <n v="10"/>
    <n v="3"/>
    <n v="2"/>
    <n v="3"/>
    <n v="7"/>
    <x v="2"/>
    <m/>
  </r>
  <r>
    <x v="0"/>
    <s v="Travel_Rarely"/>
    <x v="2"/>
    <s v="Current Employees"/>
    <x v="2"/>
    <x v="4"/>
    <s v="STAFF-977"/>
    <n v="977"/>
    <x v="0"/>
    <x v="7"/>
    <x v="2"/>
    <s v="Yes"/>
    <n v="22"/>
    <n v="86024"/>
    <n v="1"/>
    <n v="1"/>
    <n v="15"/>
    <n v="23"/>
    <n v="5"/>
    <n v="4"/>
    <n v="3"/>
    <n v="29"/>
    <x v="1"/>
    <m/>
  </r>
  <r>
    <x v="0"/>
    <s v="Non-Travel"/>
    <x v="1"/>
    <s v="Current Employees"/>
    <x v="4"/>
    <x v="1"/>
    <s v="STAFF-978"/>
    <n v="978"/>
    <x v="1"/>
    <x v="4"/>
    <x v="2"/>
    <s v="Yes"/>
    <n v="55"/>
    <n v="122595"/>
    <n v="3"/>
    <n v="3"/>
    <n v="34"/>
    <n v="8"/>
    <n v="1"/>
    <n v="1"/>
    <n v="4"/>
    <n v="29"/>
    <x v="3"/>
    <m/>
  </r>
  <r>
    <x v="0"/>
    <s v="Non-Travel"/>
    <x v="2"/>
    <s v="Current Employees"/>
    <x v="3"/>
    <x v="5"/>
    <s v="STAFF-979"/>
    <n v="979"/>
    <x v="1"/>
    <x v="9"/>
    <x v="2"/>
    <s v="Yes"/>
    <n v="24"/>
    <n v="24735"/>
    <n v="3"/>
    <n v="1"/>
    <n v="26"/>
    <n v="30"/>
    <n v="2"/>
    <n v="4"/>
    <n v="3"/>
    <n v="27"/>
    <x v="4"/>
    <m/>
  </r>
  <r>
    <x v="1"/>
    <s v="Travel_Frequently"/>
    <x v="1"/>
    <s v="Ex-Employees"/>
    <x v="4"/>
    <x v="1"/>
    <s v="STAFF-980"/>
    <n v="980"/>
    <x v="1"/>
    <x v="0"/>
    <x v="0"/>
    <s v="Yes"/>
    <n v="31"/>
    <n v="151928"/>
    <n v="4"/>
    <n v="3"/>
    <n v="10"/>
    <n v="38"/>
    <n v="5"/>
    <n v="4"/>
    <n v="3"/>
    <n v="15"/>
    <x v="2"/>
    <m/>
  </r>
  <r>
    <x v="0"/>
    <s v="Non-Travel"/>
    <x v="3"/>
    <s v="Current Employees"/>
    <x v="1"/>
    <x v="3"/>
    <s v="STAFF-981"/>
    <n v="981"/>
    <x v="0"/>
    <x v="8"/>
    <x v="2"/>
    <s v="No"/>
    <n v="35"/>
    <n v="48910"/>
    <n v="3"/>
    <n v="1"/>
    <n v="37"/>
    <n v="27"/>
    <n v="0"/>
    <n v="3"/>
    <n v="4"/>
    <n v="2"/>
    <x v="2"/>
    <m/>
  </r>
  <r>
    <x v="1"/>
    <s v="Travel_Frequently"/>
    <x v="2"/>
    <s v="Ex-Employees"/>
    <x v="3"/>
    <x v="2"/>
    <s v="STAFF-982"/>
    <n v="982"/>
    <x v="0"/>
    <x v="1"/>
    <x v="0"/>
    <s v="No"/>
    <n v="43"/>
    <n v="46051"/>
    <n v="4"/>
    <n v="4"/>
    <n v="11"/>
    <n v="18"/>
    <n v="5"/>
    <n v="1"/>
    <n v="4"/>
    <n v="23"/>
    <x v="3"/>
    <m/>
  </r>
  <r>
    <x v="0"/>
    <s v="Travel_Rarely"/>
    <x v="1"/>
    <s v="Current Employees"/>
    <x v="2"/>
    <x v="3"/>
    <s v="STAFF-983"/>
    <n v="983"/>
    <x v="1"/>
    <x v="2"/>
    <x v="1"/>
    <s v="Yes"/>
    <n v="38"/>
    <n v="136766"/>
    <n v="3"/>
    <n v="2"/>
    <n v="4"/>
    <n v="28"/>
    <n v="0"/>
    <n v="2"/>
    <n v="4"/>
    <n v="4"/>
    <x v="2"/>
    <m/>
  </r>
  <r>
    <x v="0"/>
    <s v="Non-Travel"/>
    <x v="3"/>
    <s v="Current Employees"/>
    <x v="0"/>
    <x v="0"/>
    <s v="STAFF-984"/>
    <n v="984"/>
    <x v="1"/>
    <x v="8"/>
    <x v="0"/>
    <s v="Yes"/>
    <n v="21"/>
    <n v="149735"/>
    <n v="2"/>
    <n v="3"/>
    <n v="34"/>
    <n v="25"/>
    <n v="4"/>
    <n v="2"/>
    <n v="3"/>
    <n v="29"/>
    <x v="2"/>
    <m/>
  </r>
  <r>
    <x v="0"/>
    <s v="Travel_Rarely"/>
    <x v="1"/>
    <s v="Current Employees"/>
    <x v="1"/>
    <x v="1"/>
    <s v="STAFF-985"/>
    <n v="985"/>
    <x v="1"/>
    <x v="2"/>
    <x v="0"/>
    <s v="Yes"/>
    <n v="48"/>
    <n v="23781"/>
    <n v="1"/>
    <n v="1"/>
    <n v="19"/>
    <n v="4"/>
    <n v="1"/>
    <n v="1"/>
    <n v="3"/>
    <n v="12"/>
    <x v="0"/>
    <m/>
  </r>
  <r>
    <x v="0"/>
    <s v="Non-Travel"/>
    <x v="1"/>
    <s v="Current Employees"/>
    <x v="3"/>
    <x v="5"/>
    <s v="STAFF-986"/>
    <n v="986"/>
    <x v="0"/>
    <x v="3"/>
    <x v="2"/>
    <s v="No"/>
    <n v="47"/>
    <n v="18111"/>
    <n v="3"/>
    <n v="2"/>
    <n v="15"/>
    <n v="2"/>
    <n v="2"/>
    <n v="3"/>
    <n v="3"/>
    <n v="13"/>
    <x v="3"/>
    <m/>
  </r>
  <r>
    <x v="0"/>
    <s v="Travel_Frequently"/>
    <x v="2"/>
    <s v="Current Employees"/>
    <x v="3"/>
    <x v="2"/>
    <s v="STAFF-987"/>
    <n v="987"/>
    <x v="1"/>
    <x v="9"/>
    <x v="2"/>
    <s v="No"/>
    <n v="28"/>
    <n v="179554"/>
    <n v="1"/>
    <n v="4"/>
    <n v="20"/>
    <n v="41"/>
    <n v="0"/>
    <n v="2"/>
    <n v="4"/>
    <n v="9"/>
    <x v="1"/>
    <m/>
  </r>
  <r>
    <x v="0"/>
    <s v="Travel_Frequently"/>
    <x v="1"/>
    <s v="Current Employees"/>
    <x v="4"/>
    <x v="3"/>
    <s v="STAFF-988"/>
    <n v="988"/>
    <x v="1"/>
    <x v="0"/>
    <x v="0"/>
    <s v="Yes"/>
    <n v="37"/>
    <n v="173856"/>
    <n v="1"/>
    <n v="1"/>
    <n v="25"/>
    <n v="29"/>
    <n v="6"/>
    <n v="2"/>
    <n v="3"/>
    <n v="9"/>
    <x v="1"/>
    <m/>
  </r>
  <r>
    <x v="0"/>
    <s v="Travel_Rarely"/>
    <x v="1"/>
    <s v="Current Employees"/>
    <x v="4"/>
    <x v="2"/>
    <s v="STAFF-989"/>
    <n v="989"/>
    <x v="0"/>
    <x v="7"/>
    <x v="0"/>
    <s v="No"/>
    <n v="37"/>
    <n v="161108"/>
    <n v="4"/>
    <n v="2"/>
    <n v="37"/>
    <n v="25"/>
    <n v="5"/>
    <n v="4"/>
    <n v="4"/>
    <n v="30"/>
    <x v="0"/>
    <m/>
  </r>
  <r>
    <x v="0"/>
    <s v="Travel_Frequently"/>
    <x v="1"/>
    <s v="Current Employees"/>
    <x v="4"/>
    <x v="2"/>
    <s v="STAFF-990"/>
    <n v="990"/>
    <x v="1"/>
    <x v="1"/>
    <x v="0"/>
    <s v="Yes"/>
    <n v="28"/>
    <n v="50536"/>
    <n v="2"/>
    <n v="2"/>
    <n v="3"/>
    <n v="30"/>
    <n v="2"/>
    <n v="2"/>
    <n v="4"/>
    <n v="29"/>
    <x v="1"/>
    <m/>
  </r>
  <r>
    <x v="0"/>
    <s v="Travel_Frequently"/>
    <x v="0"/>
    <s v="Current Employees"/>
    <x v="4"/>
    <x v="3"/>
    <s v="STAFF-991"/>
    <n v="991"/>
    <x v="0"/>
    <x v="3"/>
    <x v="0"/>
    <s v="No"/>
    <n v="34"/>
    <n v="128427"/>
    <n v="3"/>
    <n v="2"/>
    <n v="26"/>
    <n v="41"/>
    <n v="1"/>
    <n v="1"/>
    <n v="4"/>
    <n v="11"/>
    <x v="3"/>
    <m/>
  </r>
  <r>
    <x v="0"/>
    <s v="Travel_Rarely"/>
    <x v="1"/>
    <s v="Current Employees"/>
    <x v="4"/>
    <x v="4"/>
    <s v="STAFF-992"/>
    <n v="992"/>
    <x v="1"/>
    <x v="6"/>
    <x v="1"/>
    <s v="No"/>
    <n v="32"/>
    <n v="30309"/>
    <n v="3"/>
    <n v="4"/>
    <n v="24"/>
    <n v="17"/>
    <n v="6"/>
    <n v="4"/>
    <n v="4"/>
    <n v="16"/>
    <x v="2"/>
    <m/>
  </r>
  <r>
    <x v="0"/>
    <s v="Travel_Rarely"/>
    <x v="4"/>
    <s v="Current Employees"/>
    <x v="0"/>
    <x v="4"/>
    <s v="STAFF-993"/>
    <n v="993"/>
    <x v="1"/>
    <x v="1"/>
    <x v="1"/>
    <s v="No"/>
    <n v="52"/>
    <n v="134154"/>
    <n v="3"/>
    <n v="1"/>
    <n v="36"/>
    <n v="28"/>
    <n v="6"/>
    <n v="3"/>
    <n v="4"/>
    <n v="8"/>
    <x v="4"/>
    <m/>
  </r>
  <r>
    <x v="0"/>
    <s v="Travel_Frequently"/>
    <x v="4"/>
    <s v="Current Employees"/>
    <x v="4"/>
    <x v="0"/>
    <s v="STAFF-994"/>
    <n v="994"/>
    <x v="0"/>
    <x v="1"/>
    <x v="1"/>
    <s v="No"/>
    <n v="45"/>
    <n v="52290"/>
    <n v="2"/>
    <n v="4"/>
    <n v="21"/>
    <n v="18"/>
    <n v="0"/>
    <n v="1"/>
    <n v="4"/>
    <n v="21"/>
    <x v="3"/>
    <m/>
  </r>
  <r>
    <x v="0"/>
    <s v="Travel_Rarely"/>
    <x v="1"/>
    <s v="Current Employees"/>
    <x v="4"/>
    <x v="3"/>
    <s v="STAFF-995"/>
    <n v="995"/>
    <x v="1"/>
    <x v="6"/>
    <x v="2"/>
    <s v="Yes"/>
    <n v="32"/>
    <n v="57886"/>
    <n v="3"/>
    <n v="2"/>
    <n v="28"/>
    <n v="27"/>
    <n v="3"/>
    <n v="4"/>
    <n v="4"/>
    <n v="13"/>
    <x v="4"/>
    <m/>
  </r>
  <r>
    <x v="0"/>
    <s v="Travel_Rarely"/>
    <x v="2"/>
    <s v="Current Employees"/>
    <x v="1"/>
    <x v="4"/>
    <s v="STAFF-996"/>
    <n v="996"/>
    <x v="0"/>
    <x v="6"/>
    <x v="1"/>
    <s v="Yes"/>
    <n v="26"/>
    <n v="115651"/>
    <n v="3"/>
    <n v="4"/>
    <n v="3"/>
    <n v="0"/>
    <n v="6"/>
    <n v="1"/>
    <n v="3"/>
    <n v="16"/>
    <x v="0"/>
    <m/>
  </r>
  <r>
    <x v="0"/>
    <s v="Travel_Frequently"/>
    <x v="1"/>
    <s v="Current Employees"/>
    <x v="5"/>
    <x v="1"/>
    <s v="STAFF-997"/>
    <n v="997"/>
    <x v="0"/>
    <x v="3"/>
    <x v="2"/>
    <s v="Yes"/>
    <n v="57"/>
    <n v="174113"/>
    <n v="3"/>
    <n v="4"/>
    <n v="0"/>
    <n v="17"/>
    <n v="3"/>
    <n v="2"/>
    <n v="4"/>
    <n v="26"/>
    <x v="3"/>
    <m/>
  </r>
  <r>
    <x v="1"/>
    <s v="Travel_Rarely"/>
    <x v="2"/>
    <s v="Ex-Employees"/>
    <x v="1"/>
    <x v="0"/>
    <s v="STAFF-998"/>
    <n v="998"/>
    <x v="0"/>
    <x v="6"/>
    <x v="2"/>
    <s v="Yes"/>
    <n v="54"/>
    <n v="83858"/>
    <n v="2"/>
    <n v="4"/>
    <n v="21"/>
    <n v="14"/>
    <n v="3"/>
    <n v="3"/>
    <n v="4"/>
    <n v="28"/>
    <x v="0"/>
    <m/>
  </r>
  <r>
    <x v="0"/>
    <s v="Travel_Rarely"/>
    <x v="2"/>
    <s v="Current Employees"/>
    <x v="5"/>
    <x v="2"/>
    <s v="STAFF-999"/>
    <n v="999"/>
    <x v="1"/>
    <x v="4"/>
    <x v="2"/>
    <s v="No"/>
    <n v="29"/>
    <n v="50350"/>
    <n v="2"/>
    <n v="3"/>
    <n v="16"/>
    <n v="23"/>
    <n v="6"/>
    <n v="3"/>
    <n v="3"/>
    <n v="2"/>
    <x v="2"/>
    <m/>
  </r>
  <r>
    <x v="0"/>
    <s v="Non-Travel"/>
    <x v="2"/>
    <s v="Current Employees"/>
    <x v="0"/>
    <x v="5"/>
    <s v="STAFF-1000"/>
    <n v="1000"/>
    <x v="1"/>
    <x v="6"/>
    <x v="2"/>
    <s v="Yes"/>
    <n v="28"/>
    <n v="54685"/>
    <n v="2"/>
    <n v="2"/>
    <n v="28"/>
    <n v="18"/>
    <n v="6"/>
    <n v="4"/>
    <n v="3"/>
    <n v="15"/>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4">
    <pivotField showAll="0"/>
    <pivotField showAll="0"/>
    <pivotField showAll="0"/>
    <pivotField showAll="0"/>
    <pivotField showAll="0">
      <items count="7">
        <item x="1"/>
        <item x="0"/>
        <item x="2"/>
        <item x="5"/>
        <item x="3"/>
        <item x="4"/>
        <item t="default"/>
      </items>
    </pivotField>
    <pivotField showAll="0">
      <items count="7">
        <item x="1"/>
        <item x="4"/>
        <item x="2"/>
        <item x="0"/>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Attrition Count "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pivotField showAll="0">
      <items count="7">
        <item x="1"/>
        <item x="0"/>
        <item x="2"/>
        <item x="5"/>
        <item x="3"/>
        <item x="4"/>
        <item t="default"/>
      </items>
    </pivotField>
    <pivotField showAll="0">
      <items count="7">
        <item x="1"/>
        <item x="4"/>
        <item x="2"/>
        <item x="0"/>
        <item x="3"/>
        <item x="5"/>
        <item t="default"/>
      </items>
    </pivotField>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4">
    <pivotField showAll="0"/>
    <pivotField showAll="0"/>
    <pivotField showAll="0"/>
    <pivotField showAll="0"/>
    <pivotField showAll="0">
      <items count="7">
        <item x="1"/>
        <item x="0"/>
        <item x="2"/>
        <item x="5"/>
        <item x="3"/>
        <item x="4"/>
        <item t="default"/>
      </items>
    </pivotField>
    <pivotField showAll="0">
      <items count="7">
        <item x="1"/>
        <item x="4"/>
        <item x="2"/>
        <item x="0"/>
        <item x="3"/>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9DF604-9986-4FE2-89A2-38BC29824E9F}" name="RATING_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pivotField showAll="0">
      <items count="7">
        <item x="1"/>
        <item x="0"/>
        <item x="2"/>
        <item x="5"/>
        <item x="3"/>
        <item x="4"/>
        <item t="default"/>
      </items>
    </pivotField>
    <pivotField showAll="0">
      <items count="7">
        <item x="1"/>
        <item x="4"/>
        <item x="2"/>
        <item x="0"/>
        <item x="3"/>
        <item x="5"/>
        <item t="default"/>
      </items>
    </pivotField>
    <pivotField showAll="0"/>
    <pivotField showAll="0"/>
    <pivotField showAll="0">
      <items count="3">
        <item x="1"/>
        <item h="1"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14" subtotal="average" baseField="0" baseItem="1878902960" numFmtId="16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511AB-AE5F-4226-B40F-EE01522AF240}"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Employee Number" fld="0" subtotal="count" baseField="0" baseItem="0"/>
  </dataFields>
  <pivotHierarchies count="52">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Employee Number"/>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EE321F-3FBF-48A6-87E2-52148F62A05A}"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rowPageCount="1" colPageCount="1"/>
  <pivotFields count="24">
    <pivotField axis="axisPage" showAll="0">
      <items count="3">
        <item x="0"/>
        <item x="1"/>
        <item t="default"/>
      </items>
    </pivotField>
    <pivotField showAll="0"/>
    <pivotField showAll="0"/>
    <pivotField showAll="0"/>
    <pivotField showAll="0">
      <items count="7">
        <item x="1"/>
        <item x="0"/>
        <item x="2"/>
        <item x="5"/>
        <item x="3"/>
        <item x="4"/>
        <item t="default"/>
      </items>
    </pivotField>
    <pivotField showAll="0">
      <items count="7">
        <item x="1"/>
        <item x="4"/>
        <item x="2"/>
        <item x="0"/>
        <item x="3"/>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s>
  <rowFields count="1">
    <field x="22"/>
  </rowFields>
  <rowItems count="6">
    <i>
      <x/>
    </i>
    <i>
      <x v="3"/>
    </i>
    <i>
      <x v="2"/>
    </i>
    <i>
      <x v="1"/>
    </i>
    <i>
      <x v="4"/>
    </i>
    <i t="grand">
      <x/>
    </i>
  </rowItems>
  <colItems count="1">
    <i/>
  </colItems>
  <pageFields count="1">
    <pageField fld="0" item="1" hier="-1"/>
  </pageFields>
  <dataFields count="1">
    <dataField name="Count of emp no" fld="6"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B6A18-9943-4586-A554-28EAC6DDE98D}"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24">
    <pivotField axis="axisPage" showAll="0">
      <items count="3">
        <item x="0"/>
        <item x="1"/>
        <item t="default"/>
      </items>
    </pivotField>
    <pivotField showAll="0"/>
    <pivotField showAll="0"/>
    <pivotField showAll="0"/>
    <pivotField showAll="0">
      <items count="7">
        <item x="1"/>
        <item x="0"/>
        <item x="2"/>
        <item x="5"/>
        <item x="3"/>
        <item x="4"/>
        <item t="default"/>
      </items>
    </pivotField>
    <pivotField showAll="0">
      <items count="7">
        <item x="1"/>
        <item x="4"/>
        <item x="2"/>
        <item x="0"/>
        <item x="3"/>
        <item x="5"/>
        <item t="default"/>
      </items>
    </pivotField>
    <pivotField dataField="1" showAll="0"/>
    <pivotField showAll="0"/>
    <pivotField showAll="0"/>
    <pivotField axis="axisRow" showAll="0" sortType="ascending">
      <items count="11">
        <item x="2"/>
        <item x="4"/>
        <item x="1"/>
        <item x="7"/>
        <item x="6"/>
        <item x="3"/>
        <item x="8"/>
        <item x="0"/>
        <item x="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pageFields count="1">
    <pageField fld="0" item="1" hier="-1"/>
  </pageField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BC4E56-EA4D-4EA2-89E6-5BB9926BB4FB}"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rowPageCount="1" colPageCount="1"/>
  <pivotFields count="24">
    <pivotField axis="axisPage" showAll="0">
      <items count="3">
        <item x="0"/>
        <item x="1"/>
        <item t="default"/>
      </items>
    </pivotField>
    <pivotField showAll="0"/>
    <pivotField showAll="0"/>
    <pivotField showAll="0"/>
    <pivotField axis="axisRow" showAll="0">
      <items count="7">
        <item x="1"/>
        <item x="0"/>
        <item x="2"/>
        <item x="5"/>
        <item x="3"/>
        <item x="4"/>
        <item t="default"/>
      </items>
    </pivotField>
    <pivotField showAll="0">
      <items count="7">
        <item x="1"/>
        <item x="4"/>
        <item x="2"/>
        <item x="0"/>
        <item x="3"/>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pageFields count="1">
    <pageField fld="0" item="1" hier="-1"/>
  </pageFields>
  <dataFields count="1">
    <dataField name="Count of emp no" fld="6" subtotal="count" showDataAs="percentOfCo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4" count="1" selected="0">
            <x v="0"/>
          </reference>
        </references>
      </pivotArea>
    </chartFormat>
    <chartFormat chart="2" format="16">
      <pivotArea type="data" outline="0" fieldPosition="0">
        <references count="2">
          <reference field="4294967294" count="1" selected="0">
            <x v="0"/>
          </reference>
          <reference field="4" count="1" selected="0">
            <x v="1"/>
          </reference>
        </references>
      </pivotArea>
    </chartFormat>
    <chartFormat chart="2" format="17">
      <pivotArea type="data" outline="0" fieldPosition="0">
        <references count="2">
          <reference field="4294967294" count="1" selected="0">
            <x v="0"/>
          </reference>
          <reference field="4" count="1" selected="0">
            <x v="2"/>
          </reference>
        </references>
      </pivotArea>
    </chartFormat>
    <chartFormat chart="2" format="18">
      <pivotArea type="data" outline="0" fieldPosition="0">
        <references count="2">
          <reference field="4294967294" count="1" selected="0">
            <x v="0"/>
          </reference>
          <reference field="4" count="1" selected="0">
            <x v="3"/>
          </reference>
        </references>
      </pivotArea>
    </chartFormat>
    <chartFormat chart="2" format="19">
      <pivotArea type="data" outline="0" fieldPosition="0">
        <references count="2">
          <reference field="4294967294" count="1" selected="0">
            <x v="0"/>
          </reference>
          <reference field="4" count="1" selected="0">
            <x v="4"/>
          </reference>
        </references>
      </pivotArea>
    </chartFormat>
    <chartFormat chart="2"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ED67F9-86D3-4A81-9B87-C0E2F733B1D5}" name="MARTIAL ATTRITION "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27" firstHeaderRow="1" firstDataRow="1" firstDataCol="1"/>
  <pivotFields count="24">
    <pivotField dataField="1" showAll="0">
      <items count="3">
        <item x="0"/>
        <item x="1"/>
        <item t="default"/>
      </items>
    </pivotField>
    <pivotField showAll="0"/>
    <pivotField showAll="0">
      <items count="6">
        <item x="1"/>
        <item x="2"/>
        <item x="4"/>
        <item x="3"/>
        <item x="0"/>
        <item t="default"/>
      </items>
    </pivotField>
    <pivotField showAll="0"/>
    <pivotField showAll="0">
      <items count="7">
        <item x="1"/>
        <item x="0"/>
        <item x="2"/>
        <item x="5"/>
        <item x="3"/>
        <item x="4"/>
        <item t="default"/>
      </items>
    </pivotField>
    <pivotField showAll="0">
      <items count="7">
        <item x="1"/>
        <item x="4"/>
        <item x="2"/>
        <item x="0"/>
        <item x="3"/>
        <item x="5"/>
        <item t="default"/>
      </items>
    </pivotField>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2"/>
    </i>
    <i>
      <x/>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F01D7A-47D9-4977-8648-D416F8B1695C}" name="AGE GROUP ATTRITION "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rowPageCount="1" colPageCount="1"/>
  <pivotFields count="24">
    <pivotField axis="axisPage" showAll="0">
      <items count="3">
        <item x="0"/>
        <item x="1"/>
        <item t="default"/>
      </items>
    </pivotField>
    <pivotField showAll="0"/>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items count="7">
        <item x="1"/>
        <item x="0"/>
        <item x="2"/>
        <item x="5"/>
        <item x="3"/>
        <item x="4"/>
        <item t="default"/>
      </items>
    </pivotField>
    <pivotField showAll="0">
      <items count="7">
        <item x="1"/>
        <item x="4"/>
        <item x="2"/>
        <item x="0"/>
        <item x="3"/>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pageFields count="1">
    <pageField fld="0" item="1" hier="-1"/>
  </pageFields>
  <dataFields count="1">
    <dataField name="Count of emp no" fld="6"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26" unboundColumnsRight="1">
    <queryTableFields count="2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Age" tableColumnId="13"/>
      <queryTableField id="14" name="Monthly Income" tableColumnId="14"/>
      <queryTableField id="15" name="Job Satisfaction" tableColumnId="15"/>
      <queryTableField id="16" name="Environment Satisfaction" tableColumnId="16"/>
      <queryTableField id="17" name="Years at Company" tableColumnId="17"/>
      <queryTableField id="18" name="Total Working Years" tableColumnId="18"/>
      <queryTableField id="19" name="Training Times Last Year" tableColumnId="19"/>
      <queryTableField id="20" name="Work Life Balance" tableColumnId="20"/>
      <queryTableField id="21" name="Performance Rating" tableColumnId="21"/>
      <queryTableField id="22" name="Distance From Home" tableColumnId="22"/>
      <queryTableField id="23" name="Education" tableColumnId="23"/>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6" name="PivotTable5"/>
  </pivotTables>
  <data>
    <tabular pivotCacheId="36084608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B04791E-A03E-4990-A982-33D2001BE65C}" sourceName="Gender">
  <pivotTables>
    <pivotTable tabId="11" name="RATING_1"/>
  </pivotTables>
  <data>
    <tabular pivotCacheId="36084608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3A6CB23-677F-47A8-B068-7662830843AF}" sourceName="[Table1].[Gender]">
  <pivotTables>
    <pivotTable tabId="13" name="PivotTable2"/>
  </pivotTables>
  <data>
    <olap pivotCacheId="2081570222">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DF4F0E8-FDA5-4F18-B949-0B15D067A0A6}" sourceName="[Table1].[Education Field]">
  <pivotTables>
    <pivotTable tabId="13" name="PivotTable2"/>
  </pivotTables>
  <data>
    <olap pivotCacheId="2081570222">
      <levels count="2">
        <level uniqueName="[Table1].[Education Field].[(All)]" sourceCaption="(All)" count="0"/>
        <level uniqueName="[Table1].[Education Field].[Education Field]" sourceCaption="Education Field" count="6">
          <ranges>
            <range startItem="0">
              <i n="[Table1].[Education Field].&amp;[Human Resources]" c="Human Resources"/>
              <i n="[Table1].[Education Field].&amp;[Life Sciences]" c="Life Sciences"/>
              <i n="[Table1].[Education Field].&amp;[Marketing]" c="Marketing"/>
              <i n="[Table1].[Education Field].&amp;[Medical]" c="Medical"/>
              <i n="[Table1].[Education Field].&amp;[Other]" c="Other"/>
              <i n="[Table1].[Education Field].&amp;[Technical Degree]" c="Technical Degree"/>
            </range>
          </ranges>
        </level>
      </levels>
      <selections count="1">
        <selection n="[Table1].[Education Fiel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DADBF78-5F21-4AF1-9D67-B722D4D3424B}" sourceName="Department">
  <pivotTables>
    <pivotTable tabId="17" name="MARTIAL ATTRITION "/>
    <pivotTable tabId="17" name="AGE GROUP ATTRITION "/>
    <pivotTable tabId="15" name="PivotTable2"/>
    <pivotTable tabId="16" name="PivotTable3"/>
    <pivotTable tabId="14" name="PivotTable1"/>
    <pivotTable tabId="6" name="PivotTable5"/>
    <pivotTable tabId="6" name="PivotTable6"/>
    <pivotTable tabId="6" name="PivotTable7"/>
    <pivotTable tabId="11" name="RATING_1"/>
  </pivotTables>
  <data>
    <tabular pivotCacheId="360846081">
      <items count="6">
        <i x="1" s="1"/>
        <i x="0" s="1"/>
        <i x="2" s="1"/>
        <i x="5"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F23E814-F2EC-4F7E-9D54-E8E5F2BFCB5A}" sourceName="Education Field">
  <pivotTables>
    <pivotTable tabId="17" name="MARTIAL ATTRITION "/>
    <pivotTable tabId="17" name="AGE GROUP ATTRITION "/>
    <pivotTable tabId="15" name="PivotTable2"/>
    <pivotTable tabId="16" name="PivotTable3"/>
    <pivotTable tabId="14" name="PivotTable1"/>
    <pivotTable tabId="6" name="PivotTable5"/>
    <pivotTable tabId="11" name="RATING_1"/>
    <pivotTable tabId="6" name="PivotTable6"/>
    <pivotTable tabId="6" name="PivotTable7"/>
  </pivotTables>
  <data>
    <tabular pivotCacheId="360846081">
      <items count="6">
        <i x="1" s="1"/>
        <i x="4" s="1"/>
        <i x="2"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EAC6555-E07B-452C-B320-B65F0ACE7C8D}" cache="Slicer_Gender1" caption="Gender" rowHeight="241300"/>
  <slicer name="Education Field" xr10:uid="{1FCF77CA-DE70-453D-B537-51D5D7774871}" cache="Slicer_Education_Field2" caption="Education Fiel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C8645B5-F70B-4A35-9A9F-CE6C83DDCAF9}" cache="Slicer_Gender2" caption="Gender" columnCount="2" level="1" rowHeight="241300"/>
  <slicer name="Education Field 1" xr10:uid="{FC92902A-CB09-49F4-B5B9-BFCA453BAB68}" cache="Slicer_Education_Field1" caption="Education Field"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FE324D9-1DA1-41FA-AE02-C2E56E10A30D}" cache="Slicer_Department" caption="Department" rowHeight="241300"/>
  <slicer name="Education Field 2" xr10:uid="{E1B5635D-F9F3-4435-A8E5-02D486535831}" cache="Slicer_Education_Field2"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FC00F0F-09E2-4DB0-B132-71346B89F152}" cache="Slicer_Gender2" caption="Gender" columnCount="2" level="1" style="STYLE 5" rowHeight="182880"/>
  <slicer name="Department 1" xr10:uid="{29BD0F52-D7F0-4A37-B930-63A048E93481}" cache="Slicer_Department" caption="Department" startItem="1" style="STYLE 5" rowHeight="241300"/>
  <slicer name="Education Field 3" xr10:uid="{54D3F401-2723-4FBB-8482-DEF96E81BAAF}" cache="Slicer_Education_Field2" caption="Education Field" style="STYLE 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X1001" tableType="queryTable" totalsRowShown="0">
  <autoFilter ref="A1:X1001" xr:uid="{00000000-0009-0000-0100-000002000000}"/>
  <tableColumns count="24">
    <tableColumn id="1" xr3:uid="{00000000-0010-0000-0000-000001000000}" uniqueName="1" name="Attrition" queryTableFieldId="1" dataDxfId="29"/>
    <tableColumn id="2" xr3:uid="{00000000-0010-0000-0000-000002000000}" uniqueName="2" name="Business Travel" queryTableFieldId="2" dataDxfId="28"/>
    <tableColumn id="3" xr3:uid="{00000000-0010-0000-0000-000003000000}" uniqueName="3" name="CF_age band" queryTableFieldId="3" dataDxfId="27"/>
    <tableColumn id="4" xr3:uid="{00000000-0010-0000-0000-000004000000}" uniqueName="4" name="CF_attrition label" queryTableFieldId="4" dataDxfId="26"/>
    <tableColumn id="5" xr3:uid="{00000000-0010-0000-0000-000005000000}" uniqueName="5" name="Department" queryTableFieldId="5" dataDxfId="25"/>
    <tableColumn id="6" xr3:uid="{00000000-0010-0000-0000-000006000000}" uniqueName="6" name="Education Field" queryTableFieldId="6" dataDxfId="24"/>
    <tableColumn id="7" xr3:uid="{00000000-0010-0000-0000-000007000000}" uniqueName="7" name="emp no" queryTableFieldId="7" dataDxfId="23"/>
    <tableColumn id="8" xr3:uid="{00000000-0010-0000-0000-000008000000}" uniqueName="8" name="Employee Number" queryTableFieldId="8"/>
    <tableColumn id="9" xr3:uid="{00000000-0010-0000-0000-000009000000}" uniqueName="9" name="Gender" queryTableFieldId="9" dataDxfId="22"/>
    <tableColumn id="10" xr3:uid="{00000000-0010-0000-0000-00000A000000}" uniqueName="10" name="Job Role" queryTableFieldId="10" dataDxfId="21"/>
    <tableColumn id="11" xr3:uid="{00000000-0010-0000-0000-00000B000000}" uniqueName="11" name="Marital Status" queryTableFieldId="11" dataDxfId="20"/>
    <tableColumn id="12" xr3:uid="{00000000-0010-0000-0000-00000C000000}" uniqueName="12" name="Over Time" queryTableFieldId="12" dataDxfId="19"/>
    <tableColumn id="13" xr3:uid="{00000000-0010-0000-0000-00000D000000}" uniqueName="13" name="Age" queryTableFieldId="13"/>
    <tableColumn id="14" xr3:uid="{00000000-0010-0000-0000-00000E000000}" uniqueName="14" name="Monthly Income" queryTableFieldId="14"/>
    <tableColumn id="15" xr3:uid="{00000000-0010-0000-0000-00000F000000}" uniqueName="15" name="Job Satisfaction" queryTableFieldId="15"/>
    <tableColumn id="16" xr3:uid="{00000000-0010-0000-0000-000010000000}" uniqueName="16" name="Environment Satisfaction" queryTableFieldId="16"/>
    <tableColumn id="17" xr3:uid="{00000000-0010-0000-0000-000011000000}" uniqueName="17" name="Years at Company" queryTableFieldId="17"/>
    <tableColumn id="18" xr3:uid="{00000000-0010-0000-0000-000012000000}" uniqueName="18" name="Total Working Years" queryTableFieldId="18"/>
    <tableColumn id="19" xr3:uid="{00000000-0010-0000-0000-000013000000}" uniqueName="19" name="Training Times Last Year" queryTableFieldId="19"/>
    <tableColumn id="20" xr3:uid="{00000000-0010-0000-0000-000014000000}" uniqueName="20" name="Work Life Balance" queryTableFieldId="20"/>
    <tableColumn id="21" xr3:uid="{00000000-0010-0000-0000-000015000000}" uniqueName="21" name="Performance Rating" queryTableFieldId="21"/>
    <tableColumn id="22" xr3:uid="{00000000-0010-0000-0000-000016000000}" uniqueName="22" name="Distance From Home" queryTableFieldId="22"/>
    <tableColumn id="23" xr3:uid="{00000000-0010-0000-0000-000017000000}" uniqueName="23" name="Education" queryTableFieldId="23"/>
    <tableColumn id="25" xr3:uid="{00000000-0010-0000-0000-000019000000}" uniqueName="25" name="Attrition Count " queryTableFieldId="25" dataDxfId="18">
      <calculatedColumnFormula>COUNTIF(Table1_2[Attrition],"Yes")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22"/>
  <sheetViews>
    <sheetView topLeftCell="A3" workbookViewId="0">
      <selection activeCell="A3" sqref="A3"/>
    </sheetView>
  </sheetViews>
  <sheetFormatPr defaultRowHeight="15" x14ac:dyDescent="0.25"/>
  <cols>
    <col min="1" max="1" width="14.5703125" bestFit="1" customWidth="1"/>
    <col min="2" max="2" width="11" bestFit="1" customWidth="1"/>
    <col min="3" max="3" width="16.28515625" bestFit="1" customWidth="1"/>
  </cols>
  <sheetData>
    <row r="3" spans="1:3" x14ac:dyDescent="0.25">
      <c r="A3" t="s">
        <v>1060</v>
      </c>
      <c r="C3" t="s">
        <v>1064</v>
      </c>
    </row>
    <row r="4" spans="1:3" x14ac:dyDescent="0.25">
      <c r="A4" s="1">
        <v>1000</v>
      </c>
      <c r="C4">
        <f>GETPIVOTDATA("Employee Number",$A$3)</f>
        <v>1000</v>
      </c>
    </row>
    <row r="9" spans="1:3" x14ac:dyDescent="0.25">
      <c r="A9" t="s">
        <v>1062</v>
      </c>
      <c r="C9" t="s">
        <v>1065</v>
      </c>
    </row>
    <row r="10" spans="1:3" x14ac:dyDescent="0.25">
      <c r="A10" s="1">
        <v>146</v>
      </c>
      <c r="C10">
        <f>GETPIVOTDATA("Attrition Count ",$A$9)</f>
        <v>146</v>
      </c>
    </row>
    <row r="15" spans="1:3" x14ac:dyDescent="0.25">
      <c r="A15" t="s">
        <v>1063</v>
      </c>
      <c r="C15" t="s">
        <v>1066</v>
      </c>
    </row>
    <row r="16" spans="1:3" x14ac:dyDescent="0.25">
      <c r="A16" s="1">
        <v>40.433999999999997</v>
      </c>
      <c r="C16" s="2">
        <f>GETPIVOTDATA("Age",$A$15)</f>
        <v>40.433999999999997</v>
      </c>
    </row>
    <row r="18" spans="3:3" x14ac:dyDescent="0.25">
      <c r="C18" t="s">
        <v>1067</v>
      </c>
    </row>
    <row r="19" spans="3:3" x14ac:dyDescent="0.25">
      <c r="C19">
        <f>C4-C10</f>
        <v>854</v>
      </c>
    </row>
    <row r="21" spans="3:3" x14ac:dyDescent="0.25">
      <c r="C21" t="s">
        <v>1068</v>
      </c>
    </row>
    <row r="22" spans="3:3" x14ac:dyDescent="0.25">
      <c r="C22" s="3">
        <f>C10/C4</f>
        <v>0.14599999999999999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9631-1170-45A5-8926-89EBFCAA29F1}">
  <dimension ref="A3:C7"/>
  <sheetViews>
    <sheetView workbookViewId="0">
      <selection activeCell="Q6" sqref="Q6"/>
    </sheetView>
  </sheetViews>
  <sheetFormatPr defaultRowHeight="15" x14ac:dyDescent="0.25"/>
  <cols>
    <col min="1" max="1" width="25.140625" bestFit="1" customWidth="1"/>
  </cols>
  <sheetData>
    <row r="3" spans="1:3" x14ac:dyDescent="0.25">
      <c r="A3" t="s">
        <v>1069</v>
      </c>
    </row>
    <row r="4" spans="1:3" x14ac:dyDescent="0.25">
      <c r="A4" s="5">
        <v>2.4942965779467681</v>
      </c>
    </row>
    <row r="6" spans="1:3" x14ac:dyDescent="0.25">
      <c r="A6" t="s">
        <v>1070</v>
      </c>
      <c r="B6" s="5">
        <f>GETPIVOTDATA("Job Satisfaction",$A$3)</f>
        <v>2.4942965779467681</v>
      </c>
      <c r="C6">
        <f>B6/4</f>
        <v>0.62357414448669202</v>
      </c>
    </row>
    <row r="7" spans="1:3" x14ac:dyDescent="0.25">
      <c r="A7" t="s">
        <v>1071</v>
      </c>
      <c r="B7" s="5">
        <f>4-B6</f>
        <v>1.5057034220532319</v>
      </c>
      <c r="C7">
        <f>B7/4</f>
        <v>0.37642585551330798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E20D-EA05-47AD-BDD0-C98151A2B61B}">
  <dimension ref="A3:C9"/>
  <sheetViews>
    <sheetView workbookViewId="0">
      <selection activeCell="B9" sqref="B9"/>
    </sheetView>
  </sheetViews>
  <sheetFormatPr defaultRowHeight="15" x14ac:dyDescent="0.25"/>
  <cols>
    <col min="1" max="1" width="13.140625" bestFit="1" customWidth="1"/>
    <col min="2" max="2" width="26.140625" bestFit="1" customWidth="1"/>
  </cols>
  <sheetData>
    <row r="3" spans="1:3" x14ac:dyDescent="0.25">
      <c r="A3" s="6" t="s">
        <v>1072</v>
      </c>
      <c r="B3" t="s">
        <v>1060</v>
      </c>
    </row>
    <row r="4" spans="1:3" x14ac:dyDescent="0.25">
      <c r="A4" s="7" t="s">
        <v>36</v>
      </c>
      <c r="B4" s="1">
        <v>526</v>
      </c>
    </row>
    <row r="5" spans="1:3" x14ac:dyDescent="0.25">
      <c r="A5" s="7" t="s">
        <v>30</v>
      </c>
      <c r="B5" s="1">
        <v>474</v>
      </c>
    </row>
    <row r="6" spans="1:3" x14ac:dyDescent="0.25">
      <c r="A6" s="7" t="s">
        <v>1073</v>
      </c>
      <c r="B6" s="1">
        <v>1000</v>
      </c>
    </row>
    <row r="8" spans="1:3" x14ac:dyDescent="0.25">
      <c r="A8" s="7" t="s">
        <v>1074</v>
      </c>
      <c r="B8">
        <f>IFERROR(GETPIVOTDATA("[Measures].[Count of Employee Number]",$A$3,"[Table1].[Gender]","[Table1].[Gender].&amp;[Female]"),0)</f>
        <v>526</v>
      </c>
      <c r="C8" s="3">
        <f>IFERROR(B8/($B$8+$B$9),0)</f>
        <v>0.52600000000000002</v>
      </c>
    </row>
    <row r="9" spans="1:3" x14ac:dyDescent="0.25">
      <c r="A9" s="7" t="s">
        <v>1075</v>
      </c>
      <c r="B9">
        <f>IFERROR(GETPIVOTDATA("[Measures].[Count of Employee Number]",$A$3,"[Table1].[Gender]","[Table1].[Gender].&amp;[Male]"),0)</f>
        <v>474</v>
      </c>
      <c r="C9" s="3">
        <f>IFERROR(B9/($B$8+$B$9),0)</f>
        <v>0.47399999999999998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149E-6752-48F9-BC73-4FCE428EC1AD}">
  <dimension ref="A1:B9"/>
  <sheetViews>
    <sheetView workbookViewId="0">
      <selection activeCell="L14" sqref="L14"/>
    </sheetView>
  </sheetViews>
  <sheetFormatPr defaultRowHeight="15" x14ac:dyDescent="0.25"/>
  <cols>
    <col min="1" max="1" width="13.140625" bestFit="1" customWidth="1"/>
    <col min="2" max="2" width="15.85546875" bestFit="1" customWidth="1"/>
  </cols>
  <sheetData>
    <row r="1" spans="1:2" x14ac:dyDescent="0.25">
      <c r="A1" s="6" t="s">
        <v>0</v>
      </c>
      <c r="B1" t="s">
        <v>33</v>
      </c>
    </row>
    <row r="3" spans="1:2" x14ac:dyDescent="0.25">
      <c r="A3" s="6" t="s">
        <v>1072</v>
      </c>
      <c r="B3" t="s">
        <v>1076</v>
      </c>
    </row>
    <row r="4" spans="1:2" x14ac:dyDescent="0.25">
      <c r="A4" s="7">
        <v>1</v>
      </c>
      <c r="B4" s="1">
        <v>22</v>
      </c>
    </row>
    <row r="5" spans="1:2" x14ac:dyDescent="0.25">
      <c r="A5" s="7">
        <v>4</v>
      </c>
      <c r="B5" s="1">
        <v>24</v>
      </c>
    </row>
    <row r="6" spans="1:2" x14ac:dyDescent="0.25">
      <c r="A6" s="7">
        <v>3</v>
      </c>
      <c r="B6" s="1">
        <v>29</v>
      </c>
    </row>
    <row r="7" spans="1:2" x14ac:dyDescent="0.25">
      <c r="A7" s="7">
        <v>2</v>
      </c>
      <c r="B7" s="1">
        <v>33</v>
      </c>
    </row>
    <row r="8" spans="1:2" x14ac:dyDescent="0.25">
      <c r="A8" s="7">
        <v>5</v>
      </c>
      <c r="B8" s="1">
        <v>38</v>
      </c>
    </row>
    <row r="9" spans="1:2" x14ac:dyDescent="0.25">
      <c r="A9" s="7" t="s">
        <v>1073</v>
      </c>
      <c r="B9" s="1">
        <v>146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E3AB-C1FD-4E9E-8D8C-E0DED55111D6}">
  <dimension ref="A1:E14"/>
  <sheetViews>
    <sheetView workbookViewId="0">
      <selection activeCell="K1" sqref="K1:K2"/>
    </sheetView>
  </sheetViews>
  <sheetFormatPr defaultRowHeight="15" x14ac:dyDescent="0.25"/>
  <cols>
    <col min="1" max="1" width="25" bestFit="1" customWidth="1"/>
    <col min="2" max="2" width="15.85546875" bestFit="1" customWidth="1"/>
    <col min="4" max="4" width="25" bestFit="1" customWidth="1"/>
    <col min="5" max="5" width="10.28515625" customWidth="1"/>
  </cols>
  <sheetData>
    <row r="1" spans="1:5" x14ac:dyDescent="0.25">
      <c r="A1" s="6" t="s">
        <v>0</v>
      </c>
      <c r="B1" t="s">
        <v>33</v>
      </c>
    </row>
    <row r="3" spans="1:5" x14ac:dyDescent="0.25">
      <c r="A3" s="6" t="s">
        <v>1072</v>
      </c>
      <c r="B3" t="s">
        <v>1076</v>
      </c>
    </row>
    <row r="4" spans="1:5" x14ac:dyDescent="0.25">
      <c r="A4" s="7" t="s">
        <v>43</v>
      </c>
      <c r="B4" s="1">
        <v>8</v>
      </c>
      <c r="D4" t="s">
        <v>1077</v>
      </c>
      <c r="E4" t="s">
        <v>1078</v>
      </c>
    </row>
    <row r="5" spans="1:5" x14ac:dyDescent="0.25">
      <c r="A5" s="7" t="s">
        <v>59</v>
      </c>
      <c r="B5" s="1">
        <v>16</v>
      </c>
      <c r="D5" t="str">
        <f>A4</f>
        <v>Data Analyst</v>
      </c>
      <c r="E5">
        <f>GETPIVOTDATA("emp no",$A$3,"Job Role",A4)</f>
        <v>8</v>
      </c>
    </row>
    <row r="6" spans="1:5" x14ac:dyDescent="0.25">
      <c r="A6" s="7" t="s">
        <v>37</v>
      </c>
      <c r="B6" s="1">
        <v>18</v>
      </c>
      <c r="D6" t="str">
        <f t="shared" ref="D6:D14" si="0">A5</f>
        <v>Developer</v>
      </c>
      <c r="E6">
        <f t="shared" ref="E6:E14" si="1">GETPIVOTDATA("emp no",$A$3,"Job Role",A5)</f>
        <v>16</v>
      </c>
    </row>
    <row r="7" spans="1:5" x14ac:dyDescent="0.25">
      <c r="A7" s="7" t="s">
        <v>41</v>
      </c>
      <c r="B7" s="1">
        <v>19</v>
      </c>
      <c r="D7" t="str">
        <f t="shared" si="0"/>
        <v>Healthcare Representative</v>
      </c>
      <c r="E7">
        <f t="shared" si="1"/>
        <v>18</v>
      </c>
    </row>
    <row r="8" spans="1:5" x14ac:dyDescent="0.25">
      <c r="A8" s="7" t="s">
        <v>70</v>
      </c>
      <c r="B8" s="1">
        <v>16</v>
      </c>
      <c r="D8" t="str">
        <f t="shared" si="0"/>
        <v>Human Resources</v>
      </c>
      <c r="E8">
        <f t="shared" si="1"/>
        <v>19</v>
      </c>
    </row>
    <row r="9" spans="1:5" x14ac:dyDescent="0.25">
      <c r="A9" s="7" t="s">
        <v>48</v>
      </c>
      <c r="B9" s="1">
        <v>16</v>
      </c>
      <c r="D9" t="str">
        <f t="shared" si="0"/>
        <v>Laboratory Technician</v>
      </c>
      <c r="E9">
        <f t="shared" si="1"/>
        <v>16</v>
      </c>
    </row>
    <row r="10" spans="1:5" x14ac:dyDescent="0.25">
      <c r="A10" s="7" t="s">
        <v>76</v>
      </c>
      <c r="B10" s="1">
        <v>15</v>
      </c>
      <c r="D10" t="str">
        <f t="shared" si="0"/>
        <v>Manager</v>
      </c>
      <c r="E10">
        <f t="shared" si="1"/>
        <v>16</v>
      </c>
    </row>
    <row r="11" spans="1:5" x14ac:dyDescent="0.25">
      <c r="A11" s="7" t="s">
        <v>31</v>
      </c>
      <c r="B11" s="1">
        <v>13</v>
      </c>
      <c r="D11" t="str">
        <f t="shared" si="0"/>
        <v>Manufacturing Director</v>
      </c>
      <c r="E11">
        <f t="shared" si="1"/>
        <v>15</v>
      </c>
    </row>
    <row r="12" spans="1:5" x14ac:dyDescent="0.25">
      <c r="A12" s="7" t="s">
        <v>64</v>
      </c>
      <c r="B12" s="1">
        <v>14</v>
      </c>
      <c r="D12" t="str">
        <f t="shared" si="0"/>
        <v>Research Scientist</v>
      </c>
      <c r="E12">
        <f t="shared" si="1"/>
        <v>13</v>
      </c>
    </row>
    <row r="13" spans="1:5" x14ac:dyDescent="0.25">
      <c r="A13" s="7" t="s">
        <v>86</v>
      </c>
      <c r="B13" s="1">
        <v>11</v>
      </c>
      <c r="D13" t="str">
        <f t="shared" si="0"/>
        <v>Sales Executive</v>
      </c>
      <c r="E13">
        <f t="shared" si="1"/>
        <v>14</v>
      </c>
    </row>
    <row r="14" spans="1:5" x14ac:dyDescent="0.25">
      <c r="A14" s="7" t="s">
        <v>1073</v>
      </c>
      <c r="B14" s="1">
        <v>146</v>
      </c>
      <c r="D14" t="str">
        <f t="shared" si="0"/>
        <v>Sales Representative</v>
      </c>
      <c r="E14">
        <f t="shared" si="1"/>
        <v>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1764-DED6-4AFD-9DC1-3847195D8A18}">
  <dimension ref="A1:B10"/>
  <sheetViews>
    <sheetView workbookViewId="0">
      <selection activeCell="N15" sqref="N15"/>
    </sheetView>
  </sheetViews>
  <sheetFormatPr defaultRowHeight="15" x14ac:dyDescent="0.25"/>
  <cols>
    <col min="1" max="1" width="13.140625" bestFit="1" customWidth="1"/>
    <col min="2" max="2" width="15.85546875" bestFit="1" customWidth="1"/>
  </cols>
  <sheetData>
    <row r="1" spans="1:2" x14ac:dyDescent="0.25">
      <c r="A1" s="6" t="s">
        <v>0</v>
      </c>
      <c r="B1" t="s">
        <v>33</v>
      </c>
    </row>
    <row r="3" spans="1:2" x14ac:dyDescent="0.25">
      <c r="A3" s="6" t="s">
        <v>1072</v>
      </c>
      <c r="B3" t="s">
        <v>1076</v>
      </c>
    </row>
    <row r="4" spans="1:2" x14ac:dyDescent="0.25">
      <c r="A4" s="7" t="s">
        <v>40</v>
      </c>
      <c r="B4" s="8">
        <v>0.13698630136986301</v>
      </c>
    </row>
    <row r="5" spans="1:2" x14ac:dyDescent="0.25">
      <c r="A5" s="7" t="s">
        <v>27</v>
      </c>
      <c r="B5" s="8">
        <v>0.19178082191780821</v>
      </c>
    </row>
    <row r="6" spans="1:2" x14ac:dyDescent="0.25">
      <c r="A6" s="7" t="s">
        <v>51</v>
      </c>
      <c r="B6" s="8">
        <v>0.22602739726027396</v>
      </c>
    </row>
    <row r="7" spans="1:2" x14ac:dyDescent="0.25">
      <c r="A7" s="7" t="s">
        <v>46</v>
      </c>
      <c r="B7" s="8">
        <v>0.10273972602739725</v>
      </c>
    </row>
    <row r="8" spans="1:2" x14ac:dyDescent="0.25">
      <c r="A8" s="7" t="s">
        <v>55</v>
      </c>
      <c r="B8" s="8">
        <v>0.14383561643835616</v>
      </c>
    </row>
    <row r="9" spans="1:2" x14ac:dyDescent="0.25">
      <c r="A9" s="7" t="s">
        <v>60</v>
      </c>
      <c r="B9" s="8">
        <v>0.19863013698630136</v>
      </c>
    </row>
    <row r="10" spans="1:2" x14ac:dyDescent="0.25">
      <c r="A10" s="7" t="s">
        <v>1073</v>
      </c>
      <c r="B10"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6E80-46C5-4774-9182-62CFD3C0D352}">
  <dimension ref="A1:E27"/>
  <sheetViews>
    <sheetView topLeftCell="A16" workbookViewId="0">
      <selection activeCell="C34" sqref="C34"/>
    </sheetView>
  </sheetViews>
  <sheetFormatPr defaultRowHeight="15" x14ac:dyDescent="0.25"/>
  <cols>
    <col min="1" max="1" width="13.140625" bestFit="1" customWidth="1"/>
    <col min="2" max="2" width="15.85546875" bestFit="1" customWidth="1"/>
    <col min="3" max="3" width="16.7109375" bestFit="1" customWidth="1"/>
    <col min="4" max="4" width="16.42578125" bestFit="1" customWidth="1"/>
    <col min="5" max="5" width="10.85546875" bestFit="1" customWidth="1"/>
  </cols>
  <sheetData>
    <row r="1" spans="1:2" x14ac:dyDescent="0.25">
      <c r="A1" s="6" t="s">
        <v>0</v>
      </c>
      <c r="B1" t="s">
        <v>33</v>
      </c>
    </row>
    <row r="3" spans="1:2" x14ac:dyDescent="0.25">
      <c r="A3" s="6" t="s">
        <v>1072</v>
      </c>
      <c r="B3" t="s">
        <v>1076</v>
      </c>
    </row>
    <row r="4" spans="1:2" x14ac:dyDescent="0.25">
      <c r="A4" s="7" t="s">
        <v>34</v>
      </c>
      <c r="B4" s="1">
        <v>50</v>
      </c>
    </row>
    <row r="5" spans="1:2" x14ac:dyDescent="0.25">
      <c r="A5" s="7" t="s">
        <v>39</v>
      </c>
      <c r="B5" s="1">
        <v>45</v>
      </c>
    </row>
    <row r="6" spans="1:2" x14ac:dyDescent="0.25">
      <c r="A6" s="7" t="s">
        <v>65</v>
      </c>
      <c r="B6" s="1">
        <v>31</v>
      </c>
    </row>
    <row r="7" spans="1:2" x14ac:dyDescent="0.25">
      <c r="A7" s="7" t="s">
        <v>25</v>
      </c>
      <c r="B7" s="1">
        <v>10</v>
      </c>
    </row>
    <row r="8" spans="1:2" x14ac:dyDescent="0.25">
      <c r="A8" s="7" t="s">
        <v>57</v>
      </c>
      <c r="B8" s="1">
        <v>10</v>
      </c>
    </row>
    <row r="9" spans="1:2" x14ac:dyDescent="0.25">
      <c r="A9" s="7" t="s">
        <v>1073</v>
      </c>
      <c r="B9" s="1">
        <v>146</v>
      </c>
    </row>
    <row r="23" spans="1:5" x14ac:dyDescent="0.25">
      <c r="A23" s="6" t="s">
        <v>1072</v>
      </c>
      <c r="B23" t="s">
        <v>1079</v>
      </c>
      <c r="D23" t="s">
        <v>1080</v>
      </c>
      <c r="E23" t="s">
        <v>1078</v>
      </c>
    </row>
    <row r="24" spans="1:5" x14ac:dyDescent="0.25">
      <c r="A24" s="7" t="s">
        <v>50</v>
      </c>
      <c r="B24" s="1">
        <v>306</v>
      </c>
      <c r="D24" t="str">
        <f>A24</f>
        <v>Single</v>
      </c>
      <c r="E24">
        <f>GETPIVOTDATA("Attrition",$A$23,"Marital Status",A24)</f>
        <v>306</v>
      </c>
    </row>
    <row r="25" spans="1:5" x14ac:dyDescent="0.25">
      <c r="A25" s="7" t="s">
        <v>32</v>
      </c>
      <c r="B25" s="1">
        <v>346</v>
      </c>
      <c r="D25" t="str">
        <f t="shared" ref="D25:D26" si="0">A25</f>
        <v>Divorced</v>
      </c>
      <c r="E25">
        <f t="shared" ref="E25:E26" si="1">GETPIVOTDATA("Attrition",$A$23,"Marital Status",A25)</f>
        <v>346</v>
      </c>
    </row>
    <row r="26" spans="1:5" x14ac:dyDescent="0.25">
      <c r="A26" s="7" t="s">
        <v>38</v>
      </c>
      <c r="B26" s="1">
        <v>348</v>
      </c>
      <c r="D26" t="str">
        <f t="shared" si="0"/>
        <v>Married</v>
      </c>
      <c r="E26">
        <f t="shared" si="1"/>
        <v>348</v>
      </c>
    </row>
    <row r="27" spans="1:5" x14ac:dyDescent="0.25">
      <c r="A27" s="7" t="s">
        <v>1073</v>
      </c>
      <c r="B27" s="1">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1"/>
  <sheetViews>
    <sheetView topLeftCell="A2" workbookViewId="0">
      <selection activeCell="V8" sqref="V8"/>
    </sheetView>
  </sheetViews>
  <sheetFormatPr defaultRowHeight="15" x14ac:dyDescent="0.25"/>
  <cols>
    <col min="1" max="1" width="10.85546875" bestFit="1" customWidth="1"/>
    <col min="2" max="2" width="17.42578125" bestFit="1" customWidth="1"/>
    <col min="3" max="3" width="14.42578125" bestFit="1" customWidth="1"/>
    <col min="4" max="4" width="18.7109375" bestFit="1" customWidth="1"/>
    <col min="5" max="5" width="14" bestFit="1" customWidth="1"/>
    <col min="6" max="6" width="17" bestFit="1" customWidth="1"/>
    <col min="7" max="7" width="11" bestFit="1" customWidth="1"/>
    <col min="8" max="8" width="20.140625" bestFit="1" customWidth="1"/>
    <col min="9" max="9" width="10" bestFit="1" customWidth="1"/>
    <col min="10" max="10" width="25" bestFit="1" customWidth="1"/>
    <col min="11" max="11" width="15.7109375" bestFit="1" customWidth="1"/>
    <col min="12" max="12" width="12.42578125" bestFit="1" customWidth="1"/>
    <col min="13" max="13" width="6.7109375" bestFit="1" customWidth="1"/>
    <col min="14" max="14" width="18" bestFit="1" customWidth="1"/>
    <col min="15" max="15" width="17.140625" bestFit="1" customWidth="1"/>
    <col min="16" max="16" width="25.85546875" bestFit="1" customWidth="1"/>
    <col min="17" max="17" width="19.140625" bestFit="1" customWidth="1"/>
    <col min="18" max="18" width="21.28515625" bestFit="1" customWidth="1"/>
    <col min="19" max="19" width="24.85546875" bestFit="1" customWidth="1"/>
    <col min="20" max="20" width="19.28515625" bestFit="1" customWidth="1"/>
    <col min="21" max="21" width="21" bestFit="1" customWidth="1"/>
    <col min="22" max="22" width="21.85546875" bestFit="1" customWidth="1"/>
    <col min="23" max="23" width="12" bestFit="1" customWidth="1"/>
    <col min="24" max="24" width="16.71093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1061</v>
      </c>
    </row>
    <row r="2" spans="1:24" x14ac:dyDescent="0.25">
      <c r="A2" s="1" t="s">
        <v>23</v>
      </c>
      <c r="B2" s="1" t="s">
        <v>24</v>
      </c>
      <c r="C2" s="1" t="s">
        <v>25</v>
      </c>
      <c r="D2" s="1" t="s">
        <v>26</v>
      </c>
      <c r="E2" s="1" t="s">
        <v>27</v>
      </c>
      <c r="F2" s="1" t="s">
        <v>28</v>
      </c>
      <c r="G2" s="1" t="s">
        <v>29</v>
      </c>
      <c r="H2">
        <v>1</v>
      </c>
      <c r="I2" s="1" t="s">
        <v>30</v>
      </c>
      <c r="J2" s="1" t="s">
        <v>31</v>
      </c>
      <c r="K2" s="1" t="s">
        <v>32</v>
      </c>
      <c r="L2" s="1" t="s">
        <v>33</v>
      </c>
      <c r="M2">
        <v>58</v>
      </c>
      <c r="N2">
        <v>128604</v>
      </c>
      <c r="O2">
        <v>1</v>
      </c>
      <c r="P2">
        <v>1</v>
      </c>
      <c r="Q2">
        <v>5</v>
      </c>
      <c r="R2">
        <v>13</v>
      </c>
      <c r="S2">
        <v>1</v>
      </c>
      <c r="T2">
        <v>1</v>
      </c>
      <c r="U2">
        <v>3</v>
      </c>
      <c r="V2">
        <v>23</v>
      </c>
      <c r="W2">
        <v>5</v>
      </c>
      <c r="X2">
        <f>COUNTIF(Table1_2[Attrition],"Yes")</f>
        <v>146</v>
      </c>
    </row>
    <row r="3" spans="1:24" x14ac:dyDescent="0.25">
      <c r="A3" s="1" t="s">
        <v>23</v>
      </c>
      <c r="B3" s="1" t="s">
        <v>24</v>
      </c>
      <c r="C3" s="1" t="s">
        <v>34</v>
      </c>
      <c r="D3" s="1" t="s">
        <v>26</v>
      </c>
      <c r="E3" s="1" t="s">
        <v>27</v>
      </c>
      <c r="F3" s="1" t="s">
        <v>28</v>
      </c>
      <c r="G3" s="1" t="s">
        <v>35</v>
      </c>
      <c r="H3">
        <v>2</v>
      </c>
      <c r="I3" s="1" t="s">
        <v>36</v>
      </c>
      <c r="J3" s="1" t="s">
        <v>37</v>
      </c>
      <c r="K3" s="1" t="s">
        <v>38</v>
      </c>
      <c r="L3" s="1" t="s">
        <v>33</v>
      </c>
      <c r="M3">
        <v>34</v>
      </c>
      <c r="N3">
        <v>106236</v>
      </c>
      <c r="O3">
        <v>1</v>
      </c>
      <c r="P3">
        <v>1</v>
      </c>
      <c r="Q3">
        <v>24</v>
      </c>
      <c r="R3">
        <v>6</v>
      </c>
      <c r="S3">
        <v>2</v>
      </c>
      <c r="T3">
        <v>3</v>
      </c>
      <c r="U3">
        <v>4</v>
      </c>
      <c r="V3">
        <v>26</v>
      </c>
      <c r="W3">
        <v>1</v>
      </c>
    </row>
    <row r="4" spans="1:24" x14ac:dyDescent="0.25">
      <c r="A4" s="1" t="s">
        <v>23</v>
      </c>
      <c r="B4" s="1" t="s">
        <v>24</v>
      </c>
      <c r="C4" s="1" t="s">
        <v>39</v>
      </c>
      <c r="D4" s="1" t="s">
        <v>26</v>
      </c>
      <c r="E4" s="1" t="s">
        <v>40</v>
      </c>
      <c r="F4" s="1" t="s">
        <v>41</v>
      </c>
      <c r="G4" s="1" t="s">
        <v>42</v>
      </c>
      <c r="H4">
        <v>3</v>
      </c>
      <c r="I4" s="1" t="s">
        <v>36</v>
      </c>
      <c r="J4" s="1" t="s">
        <v>43</v>
      </c>
      <c r="K4" s="1" t="s">
        <v>38</v>
      </c>
      <c r="L4" s="1" t="s">
        <v>33</v>
      </c>
      <c r="M4">
        <v>25</v>
      </c>
      <c r="N4">
        <v>30012</v>
      </c>
      <c r="O4">
        <v>2</v>
      </c>
      <c r="P4">
        <v>3</v>
      </c>
      <c r="Q4">
        <v>5</v>
      </c>
      <c r="R4">
        <v>14</v>
      </c>
      <c r="S4">
        <v>6</v>
      </c>
      <c r="T4">
        <v>1</v>
      </c>
      <c r="U4">
        <v>4</v>
      </c>
      <c r="V4">
        <v>9</v>
      </c>
      <c r="W4">
        <v>4</v>
      </c>
    </row>
    <row r="5" spans="1:24" x14ac:dyDescent="0.25">
      <c r="A5" s="1" t="s">
        <v>23</v>
      </c>
      <c r="B5" s="1" t="s">
        <v>44</v>
      </c>
      <c r="C5" s="1" t="s">
        <v>34</v>
      </c>
      <c r="D5" s="1" t="s">
        <v>26</v>
      </c>
      <c r="E5" s="1" t="s">
        <v>27</v>
      </c>
      <c r="F5" s="1" t="s">
        <v>28</v>
      </c>
      <c r="G5" s="1" t="s">
        <v>45</v>
      </c>
      <c r="H5">
        <v>4</v>
      </c>
      <c r="I5" s="1" t="s">
        <v>36</v>
      </c>
      <c r="J5" s="1" t="s">
        <v>31</v>
      </c>
      <c r="K5" s="1" t="s">
        <v>32</v>
      </c>
      <c r="L5" s="1" t="s">
        <v>33</v>
      </c>
      <c r="M5">
        <v>55</v>
      </c>
      <c r="N5">
        <v>82175</v>
      </c>
      <c r="O5">
        <v>2</v>
      </c>
      <c r="P5">
        <v>4</v>
      </c>
      <c r="Q5">
        <v>24</v>
      </c>
      <c r="R5">
        <v>17</v>
      </c>
      <c r="S5">
        <v>5</v>
      </c>
      <c r="T5">
        <v>2</v>
      </c>
      <c r="U5">
        <v>4</v>
      </c>
      <c r="V5">
        <v>27</v>
      </c>
      <c r="W5">
        <v>1</v>
      </c>
    </row>
    <row r="6" spans="1:24" x14ac:dyDescent="0.25">
      <c r="A6" s="1" t="s">
        <v>23</v>
      </c>
      <c r="B6" s="1" t="s">
        <v>44</v>
      </c>
      <c r="C6" s="1" t="s">
        <v>25</v>
      </c>
      <c r="D6" s="1" t="s">
        <v>26</v>
      </c>
      <c r="E6" s="1" t="s">
        <v>27</v>
      </c>
      <c r="F6" s="1" t="s">
        <v>46</v>
      </c>
      <c r="G6" s="1" t="s">
        <v>47</v>
      </c>
      <c r="H6">
        <v>5</v>
      </c>
      <c r="I6" s="1" t="s">
        <v>30</v>
      </c>
      <c r="J6" s="1" t="s">
        <v>48</v>
      </c>
      <c r="K6" s="1" t="s">
        <v>32</v>
      </c>
      <c r="L6" s="1" t="s">
        <v>23</v>
      </c>
      <c r="M6">
        <v>34</v>
      </c>
      <c r="N6">
        <v>148870</v>
      </c>
      <c r="O6">
        <v>4</v>
      </c>
      <c r="P6">
        <v>4</v>
      </c>
      <c r="Q6">
        <v>9</v>
      </c>
      <c r="R6">
        <v>16</v>
      </c>
      <c r="S6">
        <v>1</v>
      </c>
      <c r="T6">
        <v>2</v>
      </c>
      <c r="U6">
        <v>4</v>
      </c>
      <c r="V6">
        <v>24</v>
      </c>
      <c r="W6">
        <v>5</v>
      </c>
    </row>
    <row r="7" spans="1:24" x14ac:dyDescent="0.25">
      <c r="A7" s="1" t="s">
        <v>23</v>
      </c>
      <c r="B7" s="1" t="s">
        <v>24</v>
      </c>
      <c r="C7" s="1" t="s">
        <v>39</v>
      </c>
      <c r="D7" s="1" t="s">
        <v>26</v>
      </c>
      <c r="E7" s="1" t="s">
        <v>27</v>
      </c>
      <c r="F7" s="1" t="s">
        <v>28</v>
      </c>
      <c r="G7" s="1" t="s">
        <v>49</v>
      </c>
      <c r="H7">
        <v>6</v>
      </c>
      <c r="I7" s="1" t="s">
        <v>36</v>
      </c>
      <c r="J7" s="1" t="s">
        <v>31</v>
      </c>
      <c r="K7" s="1" t="s">
        <v>50</v>
      </c>
      <c r="L7" s="1" t="s">
        <v>33</v>
      </c>
      <c r="M7">
        <v>30</v>
      </c>
      <c r="N7">
        <v>59938</v>
      </c>
      <c r="O7">
        <v>4</v>
      </c>
      <c r="P7">
        <v>1</v>
      </c>
      <c r="Q7">
        <v>24</v>
      </c>
      <c r="R7">
        <v>24</v>
      </c>
      <c r="S7">
        <v>4</v>
      </c>
      <c r="T7">
        <v>4</v>
      </c>
      <c r="U7">
        <v>4</v>
      </c>
      <c r="V7">
        <v>18</v>
      </c>
      <c r="W7">
        <v>1</v>
      </c>
    </row>
    <row r="8" spans="1:24" x14ac:dyDescent="0.25">
      <c r="A8" s="1" t="s">
        <v>23</v>
      </c>
      <c r="B8" s="1" t="s">
        <v>44</v>
      </c>
      <c r="C8" s="1" t="s">
        <v>34</v>
      </c>
      <c r="D8" s="1" t="s">
        <v>26</v>
      </c>
      <c r="E8" s="1" t="s">
        <v>51</v>
      </c>
      <c r="F8" s="1" t="s">
        <v>52</v>
      </c>
      <c r="G8" s="1" t="s">
        <v>53</v>
      </c>
      <c r="H8">
        <v>7</v>
      </c>
      <c r="I8" s="1" t="s">
        <v>36</v>
      </c>
      <c r="J8" s="1" t="s">
        <v>31</v>
      </c>
      <c r="K8" s="1" t="s">
        <v>38</v>
      </c>
      <c r="L8" s="1" t="s">
        <v>23</v>
      </c>
      <c r="M8">
        <v>31</v>
      </c>
      <c r="N8">
        <v>136940</v>
      </c>
      <c r="O8">
        <v>1</v>
      </c>
      <c r="P8">
        <v>3</v>
      </c>
      <c r="Q8">
        <v>32</v>
      </c>
      <c r="R8">
        <v>11</v>
      </c>
      <c r="S8">
        <v>4</v>
      </c>
      <c r="T8">
        <v>1</v>
      </c>
      <c r="U8">
        <v>4</v>
      </c>
      <c r="V8">
        <v>27</v>
      </c>
      <c r="W8">
        <v>5</v>
      </c>
    </row>
    <row r="9" spans="1:24" x14ac:dyDescent="0.25">
      <c r="A9" s="1" t="s">
        <v>23</v>
      </c>
      <c r="B9" s="1" t="s">
        <v>54</v>
      </c>
      <c r="C9" s="1" t="s">
        <v>34</v>
      </c>
      <c r="D9" s="1" t="s">
        <v>26</v>
      </c>
      <c r="E9" s="1" t="s">
        <v>55</v>
      </c>
      <c r="F9" s="1" t="s">
        <v>41</v>
      </c>
      <c r="G9" s="1" t="s">
        <v>56</v>
      </c>
      <c r="H9">
        <v>8</v>
      </c>
      <c r="I9" s="1" t="s">
        <v>30</v>
      </c>
      <c r="J9" s="1" t="s">
        <v>43</v>
      </c>
      <c r="K9" s="1" t="s">
        <v>38</v>
      </c>
      <c r="L9" s="1" t="s">
        <v>23</v>
      </c>
      <c r="M9">
        <v>22</v>
      </c>
      <c r="N9">
        <v>47325</v>
      </c>
      <c r="O9">
        <v>3</v>
      </c>
      <c r="P9">
        <v>3</v>
      </c>
      <c r="Q9">
        <v>15</v>
      </c>
      <c r="R9">
        <v>3</v>
      </c>
      <c r="S9">
        <v>1</v>
      </c>
      <c r="T9">
        <v>1</v>
      </c>
      <c r="U9">
        <v>3</v>
      </c>
      <c r="V9">
        <v>24</v>
      </c>
      <c r="W9">
        <v>4</v>
      </c>
    </row>
    <row r="10" spans="1:24" x14ac:dyDescent="0.25">
      <c r="A10" s="1" t="s">
        <v>23</v>
      </c>
      <c r="B10" s="1" t="s">
        <v>24</v>
      </c>
      <c r="C10" s="1" t="s">
        <v>57</v>
      </c>
      <c r="D10" s="1" t="s">
        <v>26</v>
      </c>
      <c r="E10" s="1" t="s">
        <v>51</v>
      </c>
      <c r="F10" s="1" t="s">
        <v>28</v>
      </c>
      <c r="G10" s="1" t="s">
        <v>58</v>
      </c>
      <c r="H10">
        <v>9</v>
      </c>
      <c r="I10" s="1" t="s">
        <v>36</v>
      </c>
      <c r="J10" s="1" t="s">
        <v>59</v>
      </c>
      <c r="K10" s="1" t="s">
        <v>50</v>
      </c>
      <c r="L10" s="1" t="s">
        <v>23</v>
      </c>
      <c r="M10">
        <v>54</v>
      </c>
      <c r="N10">
        <v>177014</v>
      </c>
      <c r="O10">
        <v>4</v>
      </c>
      <c r="P10">
        <v>2</v>
      </c>
      <c r="Q10">
        <v>34</v>
      </c>
      <c r="R10">
        <v>12</v>
      </c>
      <c r="S10">
        <v>5</v>
      </c>
      <c r="T10">
        <v>3</v>
      </c>
      <c r="U10">
        <v>4</v>
      </c>
      <c r="V10">
        <v>22</v>
      </c>
      <c r="W10">
        <v>3</v>
      </c>
    </row>
    <row r="11" spans="1:24" x14ac:dyDescent="0.25">
      <c r="A11" s="1" t="s">
        <v>23</v>
      </c>
      <c r="B11" s="1" t="s">
        <v>24</v>
      </c>
      <c r="C11" s="1" t="s">
        <v>39</v>
      </c>
      <c r="D11" s="1" t="s">
        <v>26</v>
      </c>
      <c r="E11" s="1" t="s">
        <v>60</v>
      </c>
      <c r="F11" s="1" t="s">
        <v>28</v>
      </c>
      <c r="G11" s="1" t="s">
        <v>61</v>
      </c>
      <c r="H11">
        <v>10</v>
      </c>
      <c r="I11" s="1" t="s">
        <v>30</v>
      </c>
      <c r="J11" s="1" t="s">
        <v>37</v>
      </c>
      <c r="K11" s="1" t="s">
        <v>50</v>
      </c>
      <c r="L11" s="1" t="s">
        <v>33</v>
      </c>
      <c r="M11">
        <v>58</v>
      </c>
      <c r="N11">
        <v>75728</v>
      </c>
      <c r="O11">
        <v>1</v>
      </c>
      <c r="P11">
        <v>1</v>
      </c>
      <c r="Q11">
        <v>40</v>
      </c>
      <c r="R11">
        <v>3</v>
      </c>
      <c r="S11">
        <v>1</v>
      </c>
      <c r="T11">
        <v>1</v>
      </c>
      <c r="U11">
        <v>3</v>
      </c>
      <c r="V11">
        <v>28</v>
      </c>
      <c r="W11">
        <v>3</v>
      </c>
    </row>
    <row r="12" spans="1:24" x14ac:dyDescent="0.25">
      <c r="A12" s="1" t="s">
        <v>23</v>
      </c>
      <c r="B12" s="1" t="s">
        <v>44</v>
      </c>
      <c r="C12" s="1" t="s">
        <v>34</v>
      </c>
      <c r="D12" s="1" t="s">
        <v>26</v>
      </c>
      <c r="E12" s="1" t="s">
        <v>46</v>
      </c>
      <c r="F12" s="1" t="s">
        <v>28</v>
      </c>
      <c r="G12" s="1" t="s">
        <v>62</v>
      </c>
      <c r="H12">
        <v>11</v>
      </c>
      <c r="I12" s="1" t="s">
        <v>30</v>
      </c>
      <c r="J12" s="1" t="s">
        <v>43</v>
      </c>
      <c r="K12" s="1" t="s">
        <v>32</v>
      </c>
      <c r="L12" s="1" t="s">
        <v>23</v>
      </c>
      <c r="M12">
        <v>36</v>
      </c>
      <c r="N12">
        <v>141987</v>
      </c>
      <c r="O12">
        <v>4</v>
      </c>
      <c r="P12">
        <v>2</v>
      </c>
      <c r="Q12">
        <v>6</v>
      </c>
      <c r="R12">
        <v>6</v>
      </c>
      <c r="S12">
        <v>5</v>
      </c>
      <c r="T12">
        <v>4</v>
      </c>
      <c r="U12">
        <v>4</v>
      </c>
      <c r="V12">
        <v>14</v>
      </c>
      <c r="W12">
        <v>4</v>
      </c>
    </row>
    <row r="13" spans="1:24" x14ac:dyDescent="0.25">
      <c r="A13" s="1" t="s">
        <v>23</v>
      </c>
      <c r="B13" s="1" t="s">
        <v>54</v>
      </c>
      <c r="C13" s="1" t="s">
        <v>39</v>
      </c>
      <c r="D13" s="1" t="s">
        <v>26</v>
      </c>
      <c r="E13" s="1" t="s">
        <v>46</v>
      </c>
      <c r="F13" s="1" t="s">
        <v>52</v>
      </c>
      <c r="G13" s="1" t="s">
        <v>63</v>
      </c>
      <c r="H13">
        <v>12</v>
      </c>
      <c r="I13" s="1" t="s">
        <v>30</v>
      </c>
      <c r="J13" s="1" t="s">
        <v>64</v>
      </c>
      <c r="K13" s="1" t="s">
        <v>38</v>
      </c>
      <c r="L13" s="1" t="s">
        <v>23</v>
      </c>
      <c r="M13">
        <v>27</v>
      </c>
      <c r="N13">
        <v>83183</v>
      </c>
      <c r="O13">
        <v>2</v>
      </c>
      <c r="P13">
        <v>2</v>
      </c>
      <c r="Q13">
        <v>34</v>
      </c>
      <c r="R13">
        <v>28</v>
      </c>
      <c r="S13">
        <v>1</v>
      </c>
      <c r="T13">
        <v>4</v>
      </c>
      <c r="U13">
        <v>3</v>
      </c>
      <c r="V13">
        <v>9</v>
      </c>
      <c r="W13">
        <v>4</v>
      </c>
    </row>
    <row r="14" spans="1:24" x14ac:dyDescent="0.25">
      <c r="A14" s="1" t="s">
        <v>23</v>
      </c>
      <c r="B14" s="1" t="s">
        <v>54</v>
      </c>
      <c r="C14" s="1" t="s">
        <v>65</v>
      </c>
      <c r="D14" s="1" t="s">
        <v>26</v>
      </c>
      <c r="E14" s="1" t="s">
        <v>40</v>
      </c>
      <c r="F14" s="1" t="s">
        <v>66</v>
      </c>
      <c r="G14" s="1" t="s">
        <v>67</v>
      </c>
      <c r="H14">
        <v>13</v>
      </c>
      <c r="I14" s="1" t="s">
        <v>30</v>
      </c>
      <c r="J14" s="1" t="s">
        <v>59</v>
      </c>
      <c r="K14" s="1" t="s">
        <v>50</v>
      </c>
      <c r="L14" s="1" t="s">
        <v>33</v>
      </c>
      <c r="M14">
        <v>36</v>
      </c>
      <c r="N14">
        <v>61597</v>
      </c>
      <c r="O14">
        <v>4</v>
      </c>
      <c r="P14">
        <v>4</v>
      </c>
      <c r="Q14">
        <v>30</v>
      </c>
      <c r="R14">
        <v>13</v>
      </c>
      <c r="S14">
        <v>6</v>
      </c>
      <c r="T14">
        <v>4</v>
      </c>
      <c r="U14">
        <v>3</v>
      </c>
      <c r="V14">
        <v>6</v>
      </c>
      <c r="W14">
        <v>4</v>
      </c>
    </row>
    <row r="15" spans="1:24" x14ac:dyDescent="0.25">
      <c r="A15" s="1" t="s">
        <v>23</v>
      </c>
      <c r="B15" s="1" t="s">
        <v>44</v>
      </c>
      <c r="C15" s="1" t="s">
        <v>34</v>
      </c>
      <c r="D15" s="1" t="s">
        <v>26</v>
      </c>
      <c r="E15" s="1" t="s">
        <v>40</v>
      </c>
      <c r="F15" s="1" t="s">
        <v>68</v>
      </c>
      <c r="G15" s="1" t="s">
        <v>69</v>
      </c>
      <c r="H15">
        <v>14</v>
      </c>
      <c r="I15" s="1" t="s">
        <v>36</v>
      </c>
      <c r="J15" s="1" t="s">
        <v>70</v>
      </c>
      <c r="K15" s="1" t="s">
        <v>50</v>
      </c>
      <c r="L15" s="1" t="s">
        <v>23</v>
      </c>
      <c r="M15">
        <v>34</v>
      </c>
      <c r="N15">
        <v>33331</v>
      </c>
      <c r="O15">
        <v>1</v>
      </c>
      <c r="P15">
        <v>3</v>
      </c>
      <c r="Q15">
        <v>3</v>
      </c>
      <c r="R15">
        <v>3</v>
      </c>
      <c r="S15">
        <v>4</v>
      </c>
      <c r="T15">
        <v>4</v>
      </c>
      <c r="U15">
        <v>3</v>
      </c>
      <c r="V15">
        <v>2</v>
      </c>
      <c r="W15">
        <v>5</v>
      </c>
    </row>
    <row r="16" spans="1:24" x14ac:dyDescent="0.25">
      <c r="A16" s="1" t="s">
        <v>23</v>
      </c>
      <c r="B16" s="1" t="s">
        <v>24</v>
      </c>
      <c r="C16" s="1" t="s">
        <v>34</v>
      </c>
      <c r="D16" s="1" t="s">
        <v>26</v>
      </c>
      <c r="E16" s="1" t="s">
        <v>51</v>
      </c>
      <c r="F16" s="1" t="s">
        <v>52</v>
      </c>
      <c r="G16" s="1" t="s">
        <v>71</v>
      </c>
      <c r="H16">
        <v>15</v>
      </c>
      <c r="I16" s="1" t="s">
        <v>30</v>
      </c>
      <c r="J16" s="1" t="s">
        <v>41</v>
      </c>
      <c r="K16" s="1" t="s">
        <v>50</v>
      </c>
      <c r="L16" s="1" t="s">
        <v>33</v>
      </c>
      <c r="M16">
        <v>58</v>
      </c>
      <c r="N16">
        <v>173849</v>
      </c>
      <c r="O16">
        <v>1</v>
      </c>
      <c r="P16">
        <v>1</v>
      </c>
      <c r="Q16">
        <v>26</v>
      </c>
      <c r="R16">
        <v>42</v>
      </c>
      <c r="S16">
        <v>4</v>
      </c>
      <c r="T16">
        <v>3</v>
      </c>
      <c r="U16">
        <v>4</v>
      </c>
      <c r="V16">
        <v>7</v>
      </c>
      <c r="W16">
        <v>3</v>
      </c>
    </row>
    <row r="17" spans="1:23" x14ac:dyDescent="0.25">
      <c r="A17" s="1" t="s">
        <v>23</v>
      </c>
      <c r="B17" s="1" t="s">
        <v>54</v>
      </c>
      <c r="C17" s="1" t="s">
        <v>34</v>
      </c>
      <c r="D17" s="1" t="s">
        <v>26</v>
      </c>
      <c r="E17" s="1" t="s">
        <v>46</v>
      </c>
      <c r="F17" s="1" t="s">
        <v>46</v>
      </c>
      <c r="G17" s="1" t="s">
        <v>72</v>
      </c>
      <c r="H17">
        <v>16</v>
      </c>
      <c r="I17" s="1" t="s">
        <v>36</v>
      </c>
      <c r="J17" s="1" t="s">
        <v>37</v>
      </c>
      <c r="K17" s="1" t="s">
        <v>50</v>
      </c>
      <c r="L17" s="1" t="s">
        <v>33</v>
      </c>
      <c r="M17">
        <v>50</v>
      </c>
      <c r="N17">
        <v>165585</v>
      </c>
      <c r="O17">
        <v>1</v>
      </c>
      <c r="P17">
        <v>1</v>
      </c>
      <c r="Q17">
        <v>34</v>
      </c>
      <c r="R17">
        <v>13</v>
      </c>
      <c r="S17">
        <v>4</v>
      </c>
      <c r="T17">
        <v>3</v>
      </c>
      <c r="U17">
        <v>3</v>
      </c>
      <c r="V17">
        <v>30</v>
      </c>
      <c r="W17">
        <v>3</v>
      </c>
    </row>
    <row r="18" spans="1:23" x14ac:dyDescent="0.25">
      <c r="A18" s="1" t="s">
        <v>33</v>
      </c>
      <c r="B18" s="1" t="s">
        <v>44</v>
      </c>
      <c r="C18" s="1" t="s">
        <v>65</v>
      </c>
      <c r="D18" s="1" t="s">
        <v>73</v>
      </c>
      <c r="E18" s="1" t="s">
        <v>27</v>
      </c>
      <c r="F18" s="1" t="s">
        <v>28</v>
      </c>
      <c r="G18" s="1" t="s">
        <v>74</v>
      </c>
      <c r="H18">
        <v>17</v>
      </c>
      <c r="I18" s="1" t="s">
        <v>36</v>
      </c>
      <c r="J18" s="1" t="s">
        <v>59</v>
      </c>
      <c r="K18" s="1" t="s">
        <v>32</v>
      </c>
      <c r="L18" s="1" t="s">
        <v>23</v>
      </c>
      <c r="M18">
        <v>60</v>
      </c>
      <c r="N18">
        <v>156658</v>
      </c>
      <c r="O18">
        <v>1</v>
      </c>
      <c r="P18">
        <v>3</v>
      </c>
      <c r="Q18">
        <v>6</v>
      </c>
      <c r="R18">
        <v>8</v>
      </c>
      <c r="S18">
        <v>2</v>
      </c>
      <c r="T18">
        <v>1</v>
      </c>
      <c r="U18">
        <v>3</v>
      </c>
      <c r="V18">
        <v>24</v>
      </c>
      <c r="W18">
        <v>5</v>
      </c>
    </row>
    <row r="19" spans="1:23" x14ac:dyDescent="0.25">
      <c r="A19" s="1" t="s">
        <v>23</v>
      </c>
      <c r="B19" s="1" t="s">
        <v>54</v>
      </c>
      <c r="C19" s="1" t="s">
        <v>34</v>
      </c>
      <c r="D19" s="1" t="s">
        <v>26</v>
      </c>
      <c r="E19" s="1" t="s">
        <v>55</v>
      </c>
      <c r="F19" s="1" t="s">
        <v>46</v>
      </c>
      <c r="G19" s="1" t="s">
        <v>75</v>
      </c>
      <c r="H19">
        <v>18</v>
      </c>
      <c r="I19" s="1" t="s">
        <v>30</v>
      </c>
      <c r="J19" s="1" t="s">
        <v>76</v>
      </c>
      <c r="K19" s="1" t="s">
        <v>32</v>
      </c>
      <c r="L19" s="1" t="s">
        <v>23</v>
      </c>
      <c r="M19">
        <v>37</v>
      </c>
      <c r="N19">
        <v>31316</v>
      </c>
      <c r="O19">
        <v>1</v>
      </c>
      <c r="P19">
        <v>4</v>
      </c>
      <c r="Q19">
        <v>17</v>
      </c>
      <c r="R19">
        <v>2</v>
      </c>
      <c r="S19">
        <v>0</v>
      </c>
      <c r="T19">
        <v>3</v>
      </c>
      <c r="U19">
        <v>3</v>
      </c>
      <c r="V19">
        <v>21</v>
      </c>
      <c r="W19">
        <v>3</v>
      </c>
    </row>
    <row r="20" spans="1:23" x14ac:dyDescent="0.25">
      <c r="A20" s="1" t="s">
        <v>23</v>
      </c>
      <c r="B20" s="1" t="s">
        <v>44</v>
      </c>
      <c r="C20" s="1" t="s">
        <v>34</v>
      </c>
      <c r="D20" s="1" t="s">
        <v>26</v>
      </c>
      <c r="E20" s="1" t="s">
        <v>46</v>
      </c>
      <c r="F20" s="1" t="s">
        <v>41</v>
      </c>
      <c r="G20" s="1" t="s">
        <v>77</v>
      </c>
      <c r="H20">
        <v>19</v>
      </c>
      <c r="I20" s="1" t="s">
        <v>30</v>
      </c>
      <c r="J20" s="1" t="s">
        <v>31</v>
      </c>
      <c r="K20" s="1" t="s">
        <v>50</v>
      </c>
      <c r="L20" s="1" t="s">
        <v>33</v>
      </c>
      <c r="M20">
        <v>55</v>
      </c>
      <c r="N20">
        <v>27444</v>
      </c>
      <c r="O20">
        <v>3</v>
      </c>
      <c r="P20">
        <v>2</v>
      </c>
      <c r="Q20">
        <v>27</v>
      </c>
      <c r="R20">
        <v>8</v>
      </c>
      <c r="S20">
        <v>0</v>
      </c>
      <c r="T20">
        <v>3</v>
      </c>
      <c r="U20">
        <v>4</v>
      </c>
      <c r="V20">
        <v>29</v>
      </c>
      <c r="W20">
        <v>1</v>
      </c>
    </row>
    <row r="21" spans="1:23" x14ac:dyDescent="0.25">
      <c r="A21" s="1" t="s">
        <v>33</v>
      </c>
      <c r="B21" s="1" t="s">
        <v>54</v>
      </c>
      <c r="C21" s="1" t="s">
        <v>34</v>
      </c>
      <c r="D21" s="1" t="s">
        <v>73</v>
      </c>
      <c r="E21" s="1" t="s">
        <v>55</v>
      </c>
      <c r="F21" s="1" t="s">
        <v>66</v>
      </c>
      <c r="G21" s="1" t="s">
        <v>78</v>
      </c>
      <c r="H21">
        <v>20</v>
      </c>
      <c r="I21" s="1" t="s">
        <v>36</v>
      </c>
      <c r="J21" s="1" t="s">
        <v>59</v>
      </c>
      <c r="K21" s="1" t="s">
        <v>38</v>
      </c>
      <c r="L21" s="1" t="s">
        <v>33</v>
      </c>
      <c r="M21">
        <v>36</v>
      </c>
      <c r="N21">
        <v>60598</v>
      </c>
      <c r="O21">
        <v>2</v>
      </c>
      <c r="P21">
        <v>4</v>
      </c>
      <c r="Q21">
        <v>1</v>
      </c>
      <c r="R21">
        <v>11</v>
      </c>
      <c r="S21">
        <v>5</v>
      </c>
      <c r="T21">
        <v>3</v>
      </c>
      <c r="U21">
        <v>4</v>
      </c>
      <c r="V21">
        <v>26</v>
      </c>
      <c r="W21">
        <v>2</v>
      </c>
    </row>
    <row r="22" spans="1:23" x14ac:dyDescent="0.25">
      <c r="A22" s="1" t="s">
        <v>23</v>
      </c>
      <c r="B22" s="1" t="s">
        <v>44</v>
      </c>
      <c r="C22" s="1" t="s">
        <v>65</v>
      </c>
      <c r="D22" s="1" t="s">
        <v>26</v>
      </c>
      <c r="E22" s="1" t="s">
        <v>60</v>
      </c>
      <c r="F22" s="1" t="s">
        <v>66</v>
      </c>
      <c r="G22" s="1" t="s">
        <v>79</v>
      </c>
      <c r="H22">
        <v>21</v>
      </c>
      <c r="I22" s="1" t="s">
        <v>36</v>
      </c>
      <c r="J22" s="1" t="s">
        <v>48</v>
      </c>
      <c r="K22" s="1" t="s">
        <v>50</v>
      </c>
      <c r="L22" s="1" t="s">
        <v>23</v>
      </c>
      <c r="M22">
        <v>43</v>
      </c>
      <c r="N22">
        <v>98003</v>
      </c>
      <c r="O22">
        <v>2</v>
      </c>
      <c r="P22">
        <v>2</v>
      </c>
      <c r="Q22">
        <v>1</v>
      </c>
      <c r="R22">
        <v>42</v>
      </c>
      <c r="S22">
        <v>1</v>
      </c>
      <c r="T22">
        <v>4</v>
      </c>
      <c r="U22">
        <v>4</v>
      </c>
      <c r="V22">
        <v>9</v>
      </c>
      <c r="W22">
        <v>1</v>
      </c>
    </row>
    <row r="23" spans="1:23" x14ac:dyDescent="0.25">
      <c r="A23" s="1" t="s">
        <v>33</v>
      </c>
      <c r="B23" s="1" t="s">
        <v>54</v>
      </c>
      <c r="C23" s="1" t="s">
        <v>34</v>
      </c>
      <c r="D23" s="1" t="s">
        <v>73</v>
      </c>
      <c r="E23" s="1" t="s">
        <v>46</v>
      </c>
      <c r="F23" s="1" t="s">
        <v>68</v>
      </c>
      <c r="G23" s="1" t="s">
        <v>80</v>
      </c>
      <c r="H23">
        <v>22</v>
      </c>
      <c r="I23" s="1" t="s">
        <v>36</v>
      </c>
      <c r="J23" s="1" t="s">
        <v>64</v>
      </c>
      <c r="K23" s="1" t="s">
        <v>50</v>
      </c>
      <c r="L23" s="1" t="s">
        <v>23</v>
      </c>
      <c r="M23">
        <v>32</v>
      </c>
      <c r="N23">
        <v>170198</v>
      </c>
      <c r="O23">
        <v>3</v>
      </c>
      <c r="P23">
        <v>1</v>
      </c>
      <c r="Q23">
        <v>6</v>
      </c>
      <c r="R23">
        <v>38</v>
      </c>
      <c r="S23">
        <v>3</v>
      </c>
      <c r="T23">
        <v>3</v>
      </c>
      <c r="U23">
        <v>4</v>
      </c>
      <c r="V23">
        <v>14</v>
      </c>
      <c r="W23">
        <v>5</v>
      </c>
    </row>
    <row r="24" spans="1:23" x14ac:dyDescent="0.25">
      <c r="A24" s="1" t="s">
        <v>33</v>
      </c>
      <c r="B24" s="1" t="s">
        <v>24</v>
      </c>
      <c r="C24" s="1" t="s">
        <v>34</v>
      </c>
      <c r="D24" s="1" t="s">
        <v>73</v>
      </c>
      <c r="E24" s="1" t="s">
        <v>51</v>
      </c>
      <c r="F24" s="1" t="s">
        <v>46</v>
      </c>
      <c r="G24" s="1" t="s">
        <v>81</v>
      </c>
      <c r="H24">
        <v>23</v>
      </c>
      <c r="I24" s="1" t="s">
        <v>30</v>
      </c>
      <c r="J24" s="1" t="s">
        <v>41</v>
      </c>
      <c r="K24" s="1" t="s">
        <v>50</v>
      </c>
      <c r="L24" s="1" t="s">
        <v>33</v>
      </c>
      <c r="M24">
        <v>44</v>
      </c>
      <c r="N24">
        <v>131062</v>
      </c>
      <c r="O24">
        <v>1</v>
      </c>
      <c r="P24">
        <v>3</v>
      </c>
      <c r="Q24">
        <v>39</v>
      </c>
      <c r="R24">
        <v>20</v>
      </c>
      <c r="S24">
        <v>5</v>
      </c>
      <c r="T24">
        <v>1</v>
      </c>
      <c r="U24">
        <v>4</v>
      </c>
      <c r="V24">
        <v>17</v>
      </c>
      <c r="W24">
        <v>3</v>
      </c>
    </row>
    <row r="25" spans="1:23" x14ac:dyDescent="0.25">
      <c r="A25" s="1" t="s">
        <v>23</v>
      </c>
      <c r="B25" s="1" t="s">
        <v>44</v>
      </c>
      <c r="C25" s="1" t="s">
        <v>34</v>
      </c>
      <c r="D25" s="1" t="s">
        <v>26</v>
      </c>
      <c r="E25" s="1" t="s">
        <v>46</v>
      </c>
      <c r="F25" s="1" t="s">
        <v>41</v>
      </c>
      <c r="G25" s="1" t="s">
        <v>82</v>
      </c>
      <c r="H25">
        <v>24</v>
      </c>
      <c r="I25" s="1" t="s">
        <v>30</v>
      </c>
      <c r="J25" s="1" t="s">
        <v>48</v>
      </c>
      <c r="K25" s="1" t="s">
        <v>38</v>
      </c>
      <c r="L25" s="1" t="s">
        <v>23</v>
      </c>
      <c r="M25">
        <v>32</v>
      </c>
      <c r="N25">
        <v>179353</v>
      </c>
      <c r="O25">
        <v>3</v>
      </c>
      <c r="P25">
        <v>4</v>
      </c>
      <c r="Q25">
        <v>35</v>
      </c>
      <c r="R25">
        <v>0</v>
      </c>
      <c r="S25">
        <v>2</v>
      </c>
      <c r="T25">
        <v>3</v>
      </c>
      <c r="U25">
        <v>3</v>
      </c>
      <c r="V25">
        <v>14</v>
      </c>
      <c r="W25">
        <v>5</v>
      </c>
    </row>
    <row r="26" spans="1:23" x14ac:dyDescent="0.25">
      <c r="A26" s="1" t="s">
        <v>23</v>
      </c>
      <c r="B26" s="1" t="s">
        <v>44</v>
      </c>
      <c r="C26" s="1" t="s">
        <v>34</v>
      </c>
      <c r="D26" s="1" t="s">
        <v>26</v>
      </c>
      <c r="E26" s="1" t="s">
        <v>40</v>
      </c>
      <c r="F26" s="1" t="s">
        <v>52</v>
      </c>
      <c r="G26" s="1" t="s">
        <v>83</v>
      </c>
      <c r="H26">
        <v>25</v>
      </c>
      <c r="I26" s="1" t="s">
        <v>30</v>
      </c>
      <c r="J26" s="1" t="s">
        <v>59</v>
      </c>
      <c r="K26" s="1" t="s">
        <v>38</v>
      </c>
      <c r="L26" s="1" t="s">
        <v>33</v>
      </c>
      <c r="M26">
        <v>26</v>
      </c>
      <c r="N26">
        <v>92392</v>
      </c>
      <c r="O26">
        <v>3</v>
      </c>
      <c r="P26">
        <v>1</v>
      </c>
      <c r="Q26">
        <v>15</v>
      </c>
      <c r="R26">
        <v>19</v>
      </c>
      <c r="S26">
        <v>1</v>
      </c>
      <c r="T26">
        <v>2</v>
      </c>
      <c r="U26">
        <v>3</v>
      </c>
      <c r="V26">
        <v>1</v>
      </c>
      <c r="W26">
        <v>1</v>
      </c>
    </row>
    <row r="27" spans="1:23" x14ac:dyDescent="0.25">
      <c r="A27" s="1" t="s">
        <v>23</v>
      </c>
      <c r="B27" s="1" t="s">
        <v>44</v>
      </c>
      <c r="C27" s="1" t="s">
        <v>39</v>
      </c>
      <c r="D27" s="1" t="s">
        <v>26</v>
      </c>
      <c r="E27" s="1" t="s">
        <v>60</v>
      </c>
      <c r="F27" s="1" t="s">
        <v>68</v>
      </c>
      <c r="G27" s="1" t="s">
        <v>84</v>
      </c>
      <c r="H27">
        <v>26</v>
      </c>
      <c r="I27" s="1" t="s">
        <v>30</v>
      </c>
      <c r="J27" s="1" t="s">
        <v>41</v>
      </c>
      <c r="K27" s="1" t="s">
        <v>38</v>
      </c>
      <c r="L27" s="1" t="s">
        <v>23</v>
      </c>
      <c r="M27">
        <v>36</v>
      </c>
      <c r="N27">
        <v>56684</v>
      </c>
      <c r="O27">
        <v>1</v>
      </c>
      <c r="P27">
        <v>1</v>
      </c>
      <c r="Q27">
        <v>27</v>
      </c>
      <c r="R27">
        <v>14</v>
      </c>
      <c r="S27">
        <v>1</v>
      </c>
      <c r="T27">
        <v>4</v>
      </c>
      <c r="U27">
        <v>3</v>
      </c>
      <c r="V27">
        <v>18</v>
      </c>
      <c r="W27">
        <v>2</v>
      </c>
    </row>
    <row r="28" spans="1:23" x14ac:dyDescent="0.25">
      <c r="A28" s="1" t="s">
        <v>33</v>
      </c>
      <c r="B28" s="1" t="s">
        <v>44</v>
      </c>
      <c r="C28" s="1" t="s">
        <v>34</v>
      </c>
      <c r="D28" s="1" t="s">
        <v>73</v>
      </c>
      <c r="E28" s="1" t="s">
        <v>55</v>
      </c>
      <c r="F28" s="1" t="s">
        <v>52</v>
      </c>
      <c r="G28" s="1" t="s">
        <v>85</v>
      </c>
      <c r="H28">
        <v>27</v>
      </c>
      <c r="I28" s="1" t="s">
        <v>36</v>
      </c>
      <c r="J28" s="1" t="s">
        <v>86</v>
      </c>
      <c r="K28" s="1" t="s">
        <v>32</v>
      </c>
      <c r="L28" s="1" t="s">
        <v>23</v>
      </c>
      <c r="M28">
        <v>56</v>
      </c>
      <c r="N28">
        <v>134893</v>
      </c>
      <c r="O28">
        <v>2</v>
      </c>
      <c r="P28">
        <v>4</v>
      </c>
      <c r="Q28">
        <v>28</v>
      </c>
      <c r="R28">
        <v>16</v>
      </c>
      <c r="S28">
        <v>6</v>
      </c>
      <c r="T28">
        <v>2</v>
      </c>
      <c r="U28">
        <v>4</v>
      </c>
      <c r="V28">
        <v>25</v>
      </c>
      <c r="W28">
        <v>5</v>
      </c>
    </row>
    <row r="29" spans="1:23" x14ac:dyDescent="0.25">
      <c r="A29" s="1" t="s">
        <v>23</v>
      </c>
      <c r="B29" s="1" t="s">
        <v>24</v>
      </c>
      <c r="C29" s="1" t="s">
        <v>34</v>
      </c>
      <c r="D29" s="1" t="s">
        <v>26</v>
      </c>
      <c r="E29" s="1" t="s">
        <v>40</v>
      </c>
      <c r="F29" s="1" t="s">
        <v>52</v>
      </c>
      <c r="G29" s="1" t="s">
        <v>87</v>
      </c>
      <c r="H29">
        <v>28</v>
      </c>
      <c r="I29" s="1" t="s">
        <v>36</v>
      </c>
      <c r="J29" s="1" t="s">
        <v>48</v>
      </c>
      <c r="K29" s="1" t="s">
        <v>38</v>
      </c>
      <c r="L29" s="1" t="s">
        <v>23</v>
      </c>
      <c r="M29">
        <v>41</v>
      </c>
      <c r="N29">
        <v>159597</v>
      </c>
      <c r="O29">
        <v>1</v>
      </c>
      <c r="P29">
        <v>2</v>
      </c>
      <c r="Q29">
        <v>9</v>
      </c>
      <c r="R29">
        <v>14</v>
      </c>
      <c r="S29">
        <v>3</v>
      </c>
      <c r="T29">
        <v>2</v>
      </c>
      <c r="U29">
        <v>3</v>
      </c>
      <c r="V29">
        <v>3</v>
      </c>
      <c r="W29">
        <v>4</v>
      </c>
    </row>
    <row r="30" spans="1:23" x14ac:dyDescent="0.25">
      <c r="A30" s="1" t="s">
        <v>23</v>
      </c>
      <c r="B30" s="1" t="s">
        <v>24</v>
      </c>
      <c r="C30" s="1" t="s">
        <v>39</v>
      </c>
      <c r="D30" s="1" t="s">
        <v>26</v>
      </c>
      <c r="E30" s="1" t="s">
        <v>40</v>
      </c>
      <c r="F30" s="1" t="s">
        <v>28</v>
      </c>
      <c r="G30" s="1" t="s">
        <v>88</v>
      </c>
      <c r="H30">
        <v>29</v>
      </c>
      <c r="I30" s="1" t="s">
        <v>36</v>
      </c>
      <c r="J30" s="1" t="s">
        <v>41</v>
      </c>
      <c r="K30" s="1" t="s">
        <v>32</v>
      </c>
      <c r="L30" s="1" t="s">
        <v>33</v>
      </c>
      <c r="M30">
        <v>57</v>
      </c>
      <c r="N30">
        <v>117714</v>
      </c>
      <c r="O30">
        <v>4</v>
      </c>
      <c r="P30">
        <v>1</v>
      </c>
      <c r="Q30">
        <v>22</v>
      </c>
      <c r="R30">
        <v>19</v>
      </c>
      <c r="S30">
        <v>6</v>
      </c>
      <c r="T30">
        <v>4</v>
      </c>
      <c r="U30">
        <v>4</v>
      </c>
      <c r="V30">
        <v>18</v>
      </c>
      <c r="W30">
        <v>5</v>
      </c>
    </row>
    <row r="31" spans="1:23" x14ac:dyDescent="0.25">
      <c r="A31" s="1" t="s">
        <v>23</v>
      </c>
      <c r="B31" s="1" t="s">
        <v>24</v>
      </c>
      <c r="C31" s="1" t="s">
        <v>65</v>
      </c>
      <c r="D31" s="1" t="s">
        <v>26</v>
      </c>
      <c r="E31" s="1" t="s">
        <v>40</v>
      </c>
      <c r="F31" s="1" t="s">
        <v>46</v>
      </c>
      <c r="G31" s="1" t="s">
        <v>89</v>
      </c>
      <c r="H31">
        <v>30</v>
      </c>
      <c r="I31" s="1" t="s">
        <v>36</v>
      </c>
      <c r="J31" s="1" t="s">
        <v>86</v>
      </c>
      <c r="K31" s="1" t="s">
        <v>50</v>
      </c>
      <c r="L31" s="1" t="s">
        <v>23</v>
      </c>
      <c r="M31">
        <v>42</v>
      </c>
      <c r="N31">
        <v>123989</v>
      </c>
      <c r="O31">
        <v>2</v>
      </c>
      <c r="P31">
        <v>4</v>
      </c>
      <c r="Q31">
        <v>8</v>
      </c>
      <c r="R31">
        <v>39</v>
      </c>
      <c r="S31">
        <v>4</v>
      </c>
      <c r="T31">
        <v>1</v>
      </c>
      <c r="U31">
        <v>4</v>
      </c>
      <c r="V31">
        <v>19</v>
      </c>
      <c r="W31">
        <v>5</v>
      </c>
    </row>
    <row r="32" spans="1:23" x14ac:dyDescent="0.25">
      <c r="A32" s="1" t="s">
        <v>23</v>
      </c>
      <c r="B32" s="1" t="s">
        <v>24</v>
      </c>
      <c r="C32" s="1" t="s">
        <v>25</v>
      </c>
      <c r="D32" s="1" t="s">
        <v>26</v>
      </c>
      <c r="E32" s="1" t="s">
        <v>40</v>
      </c>
      <c r="F32" s="1" t="s">
        <v>68</v>
      </c>
      <c r="G32" s="1" t="s">
        <v>90</v>
      </c>
      <c r="H32">
        <v>31</v>
      </c>
      <c r="I32" s="1" t="s">
        <v>30</v>
      </c>
      <c r="J32" s="1" t="s">
        <v>64</v>
      </c>
      <c r="K32" s="1" t="s">
        <v>38</v>
      </c>
      <c r="L32" s="1" t="s">
        <v>23</v>
      </c>
      <c r="M32">
        <v>41</v>
      </c>
      <c r="N32">
        <v>73485</v>
      </c>
      <c r="O32">
        <v>4</v>
      </c>
      <c r="P32">
        <v>3</v>
      </c>
      <c r="Q32">
        <v>21</v>
      </c>
      <c r="R32">
        <v>24</v>
      </c>
      <c r="S32">
        <v>2</v>
      </c>
      <c r="T32">
        <v>4</v>
      </c>
      <c r="U32">
        <v>4</v>
      </c>
      <c r="V32">
        <v>27</v>
      </c>
      <c r="W32">
        <v>1</v>
      </c>
    </row>
    <row r="33" spans="1:23" x14ac:dyDescent="0.25">
      <c r="A33" s="1" t="s">
        <v>23</v>
      </c>
      <c r="B33" s="1" t="s">
        <v>44</v>
      </c>
      <c r="C33" s="1" t="s">
        <v>39</v>
      </c>
      <c r="D33" s="1" t="s">
        <v>26</v>
      </c>
      <c r="E33" s="1" t="s">
        <v>60</v>
      </c>
      <c r="F33" s="1" t="s">
        <v>28</v>
      </c>
      <c r="G33" s="1" t="s">
        <v>91</v>
      </c>
      <c r="H33">
        <v>32</v>
      </c>
      <c r="I33" s="1" t="s">
        <v>30</v>
      </c>
      <c r="J33" s="1" t="s">
        <v>64</v>
      </c>
      <c r="K33" s="1" t="s">
        <v>50</v>
      </c>
      <c r="L33" s="1" t="s">
        <v>33</v>
      </c>
      <c r="M33">
        <v>33</v>
      </c>
      <c r="N33">
        <v>23342</v>
      </c>
      <c r="O33">
        <v>2</v>
      </c>
      <c r="P33">
        <v>2</v>
      </c>
      <c r="Q33">
        <v>8</v>
      </c>
      <c r="R33">
        <v>30</v>
      </c>
      <c r="S33">
        <v>5</v>
      </c>
      <c r="T33">
        <v>1</v>
      </c>
      <c r="U33">
        <v>3</v>
      </c>
      <c r="V33">
        <v>15</v>
      </c>
      <c r="W33">
        <v>3</v>
      </c>
    </row>
    <row r="34" spans="1:23" x14ac:dyDescent="0.25">
      <c r="A34" s="1" t="s">
        <v>23</v>
      </c>
      <c r="B34" s="1" t="s">
        <v>54</v>
      </c>
      <c r="C34" s="1" t="s">
        <v>34</v>
      </c>
      <c r="D34" s="1" t="s">
        <v>26</v>
      </c>
      <c r="E34" s="1" t="s">
        <v>51</v>
      </c>
      <c r="F34" s="1" t="s">
        <v>52</v>
      </c>
      <c r="G34" s="1" t="s">
        <v>92</v>
      </c>
      <c r="H34">
        <v>33</v>
      </c>
      <c r="I34" s="1" t="s">
        <v>30</v>
      </c>
      <c r="J34" s="1" t="s">
        <v>70</v>
      </c>
      <c r="K34" s="1" t="s">
        <v>38</v>
      </c>
      <c r="L34" s="1" t="s">
        <v>33</v>
      </c>
      <c r="M34">
        <v>58</v>
      </c>
      <c r="N34">
        <v>24731</v>
      </c>
      <c r="O34">
        <v>3</v>
      </c>
      <c r="P34">
        <v>4</v>
      </c>
      <c r="Q34">
        <v>25</v>
      </c>
      <c r="R34">
        <v>12</v>
      </c>
      <c r="S34">
        <v>0</v>
      </c>
      <c r="T34">
        <v>2</v>
      </c>
      <c r="U34">
        <v>3</v>
      </c>
      <c r="V34">
        <v>23</v>
      </c>
      <c r="W34">
        <v>3</v>
      </c>
    </row>
    <row r="35" spans="1:23" x14ac:dyDescent="0.25">
      <c r="A35" s="1" t="s">
        <v>33</v>
      </c>
      <c r="B35" s="1" t="s">
        <v>54</v>
      </c>
      <c r="C35" s="1" t="s">
        <v>39</v>
      </c>
      <c r="D35" s="1" t="s">
        <v>73</v>
      </c>
      <c r="E35" s="1" t="s">
        <v>60</v>
      </c>
      <c r="F35" s="1" t="s">
        <v>66</v>
      </c>
      <c r="G35" s="1" t="s">
        <v>93</v>
      </c>
      <c r="H35">
        <v>34</v>
      </c>
      <c r="I35" s="1" t="s">
        <v>36</v>
      </c>
      <c r="J35" s="1" t="s">
        <v>59</v>
      </c>
      <c r="K35" s="1" t="s">
        <v>38</v>
      </c>
      <c r="L35" s="1" t="s">
        <v>23</v>
      </c>
      <c r="M35">
        <v>25</v>
      </c>
      <c r="N35">
        <v>150634</v>
      </c>
      <c r="O35">
        <v>3</v>
      </c>
      <c r="P35">
        <v>1</v>
      </c>
      <c r="Q35">
        <v>26</v>
      </c>
      <c r="R35">
        <v>31</v>
      </c>
      <c r="S35">
        <v>0</v>
      </c>
      <c r="T35">
        <v>4</v>
      </c>
      <c r="U35">
        <v>4</v>
      </c>
      <c r="V35">
        <v>21</v>
      </c>
      <c r="W35">
        <v>4</v>
      </c>
    </row>
    <row r="36" spans="1:23" x14ac:dyDescent="0.25">
      <c r="A36" s="1" t="s">
        <v>23</v>
      </c>
      <c r="B36" s="1" t="s">
        <v>54</v>
      </c>
      <c r="C36" s="1" t="s">
        <v>34</v>
      </c>
      <c r="D36" s="1" t="s">
        <v>26</v>
      </c>
      <c r="E36" s="1" t="s">
        <v>46</v>
      </c>
      <c r="F36" s="1" t="s">
        <v>52</v>
      </c>
      <c r="G36" s="1" t="s">
        <v>94</v>
      </c>
      <c r="H36">
        <v>35</v>
      </c>
      <c r="I36" s="1" t="s">
        <v>36</v>
      </c>
      <c r="J36" s="1" t="s">
        <v>43</v>
      </c>
      <c r="K36" s="1" t="s">
        <v>32</v>
      </c>
      <c r="L36" s="1" t="s">
        <v>23</v>
      </c>
      <c r="M36">
        <v>50</v>
      </c>
      <c r="N36">
        <v>132183</v>
      </c>
      <c r="O36">
        <v>3</v>
      </c>
      <c r="P36">
        <v>3</v>
      </c>
      <c r="Q36">
        <v>15</v>
      </c>
      <c r="R36">
        <v>5</v>
      </c>
      <c r="S36">
        <v>2</v>
      </c>
      <c r="T36">
        <v>4</v>
      </c>
      <c r="U36">
        <v>3</v>
      </c>
      <c r="V36">
        <v>25</v>
      </c>
      <c r="W36">
        <v>4</v>
      </c>
    </row>
    <row r="37" spans="1:23" x14ac:dyDescent="0.25">
      <c r="A37" s="1" t="s">
        <v>23</v>
      </c>
      <c r="B37" s="1" t="s">
        <v>24</v>
      </c>
      <c r="C37" s="1" t="s">
        <v>39</v>
      </c>
      <c r="D37" s="1" t="s">
        <v>26</v>
      </c>
      <c r="E37" s="1" t="s">
        <v>27</v>
      </c>
      <c r="F37" s="1" t="s">
        <v>68</v>
      </c>
      <c r="G37" s="1" t="s">
        <v>95</v>
      </c>
      <c r="H37">
        <v>36</v>
      </c>
      <c r="I37" s="1" t="s">
        <v>36</v>
      </c>
      <c r="J37" s="1" t="s">
        <v>70</v>
      </c>
      <c r="K37" s="1" t="s">
        <v>38</v>
      </c>
      <c r="L37" s="1" t="s">
        <v>33</v>
      </c>
      <c r="M37">
        <v>43</v>
      </c>
      <c r="N37">
        <v>85725</v>
      </c>
      <c r="O37">
        <v>3</v>
      </c>
      <c r="P37">
        <v>3</v>
      </c>
      <c r="Q37">
        <v>38</v>
      </c>
      <c r="R37">
        <v>17</v>
      </c>
      <c r="S37">
        <v>4</v>
      </c>
      <c r="T37">
        <v>1</v>
      </c>
      <c r="U37">
        <v>3</v>
      </c>
      <c r="V37">
        <v>3</v>
      </c>
      <c r="W37">
        <v>2</v>
      </c>
    </row>
    <row r="38" spans="1:23" x14ac:dyDescent="0.25">
      <c r="A38" s="1" t="s">
        <v>23</v>
      </c>
      <c r="B38" s="1" t="s">
        <v>54</v>
      </c>
      <c r="C38" s="1" t="s">
        <v>39</v>
      </c>
      <c r="D38" s="1" t="s">
        <v>26</v>
      </c>
      <c r="E38" s="1" t="s">
        <v>55</v>
      </c>
      <c r="F38" s="1" t="s">
        <v>68</v>
      </c>
      <c r="G38" s="1" t="s">
        <v>96</v>
      </c>
      <c r="H38">
        <v>37</v>
      </c>
      <c r="I38" s="1" t="s">
        <v>36</v>
      </c>
      <c r="J38" s="1" t="s">
        <v>86</v>
      </c>
      <c r="K38" s="1" t="s">
        <v>50</v>
      </c>
      <c r="L38" s="1" t="s">
        <v>33</v>
      </c>
      <c r="M38">
        <v>39</v>
      </c>
      <c r="N38">
        <v>76090</v>
      </c>
      <c r="O38">
        <v>4</v>
      </c>
      <c r="P38">
        <v>2</v>
      </c>
      <c r="Q38">
        <v>19</v>
      </c>
      <c r="R38">
        <v>42</v>
      </c>
      <c r="S38">
        <v>4</v>
      </c>
      <c r="T38">
        <v>3</v>
      </c>
      <c r="U38">
        <v>4</v>
      </c>
      <c r="V38">
        <v>18</v>
      </c>
      <c r="W38">
        <v>5</v>
      </c>
    </row>
    <row r="39" spans="1:23" x14ac:dyDescent="0.25">
      <c r="A39" s="1" t="s">
        <v>23</v>
      </c>
      <c r="B39" s="1" t="s">
        <v>44</v>
      </c>
      <c r="C39" s="1" t="s">
        <v>57</v>
      </c>
      <c r="D39" s="1" t="s">
        <v>26</v>
      </c>
      <c r="E39" s="1" t="s">
        <v>51</v>
      </c>
      <c r="F39" s="1" t="s">
        <v>46</v>
      </c>
      <c r="G39" s="1" t="s">
        <v>97</v>
      </c>
      <c r="H39">
        <v>38</v>
      </c>
      <c r="I39" s="1" t="s">
        <v>36</v>
      </c>
      <c r="J39" s="1" t="s">
        <v>76</v>
      </c>
      <c r="K39" s="1" t="s">
        <v>38</v>
      </c>
      <c r="L39" s="1" t="s">
        <v>23</v>
      </c>
      <c r="M39">
        <v>35</v>
      </c>
      <c r="N39">
        <v>49629</v>
      </c>
      <c r="O39">
        <v>2</v>
      </c>
      <c r="P39">
        <v>3</v>
      </c>
      <c r="Q39">
        <v>7</v>
      </c>
      <c r="R39">
        <v>34</v>
      </c>
      <c r="S39">
        <v>6</v>
      </c>
      <c r="T39">
        <v>2</v>
      </c>
      <c r="U39">
        <v>3</v>
      </c>
      <c r="V39">
        <v>7</v>
      </c>
      <c r="W39">
        <v>4</v>
      </c>
    </row>
    <row r="40" spans="1:23" x14ac:dyDescent="0.25">
      <c r="A40" s="1" t="s">
        <v>23</v>
      </c>
      <c r="B40" s="1" t="s">
        <v>54</v>
      </c>
      <c r="C40" s="1" t="s">
        <v>39</v>
      </c>
      <c r="D40" s="1" t="s">
        <v>26</v>
      </c>
      <c r="E40" s="1" t="s">
        <v>51</v>
      </c>
      <c r="F40" s="1" t="s">
        <v>46</v>
      </c>
      <c r="G40" s="1" t="s">
        <v>98</v>
      </c>
      <c r="H40">
        <v>39</v>
      </c>
      <c r="I40" s="1" t="s">
        <v>30</v>
      </c>
      <c r="J40" s="1" t="s">
        <v>48</v>
      </c>
      <c r="K40" s="1" t="s">
        <v>38</v>
      </c>
      <c r="L40" s="1" t="s">
        <v>33</v>
      </c>
      <c r="M40">
        <v>44</v>
      </c>
      <c r="N40">
        <v>65039</v>
      </c>
      <c r="O40">
        <v>3</v>
      </c>
      <c r="P40">
        <v>1</v>
      </c>
      <c r="Q40">
        <v>34</v>
      </c>
      <c r="R40">
        <v>8</v>
      </c>
      <c r="S40">
        <v>2</v>
      </c>
      <c r="T40">
        <v>1</v>
      </c>
      <c r="U40">
        <v>3</v>
      </c>
      <c r="V40">
        <v>18</v>
      </c>
      <c r="W40">
        <v>3</v>
      </c>
    </row>
    <row r="41" spans="1:23" x14ac:dyDescent="0.25">
      <c r="A41" s="1" t="s">
        <v>23</v>
      </c>
      <c r="B41" s="1" t="s">
        <v>24</v>
      </c>
      <c r="C41" s="1" t="s">
        <v>34</v>
      </c>
      <c r="D41" s="1" t="s">
        <v>26</v>
      </c>
      <c r="E41" s="1" t="s">
        <v>40</v>
      </c>
      <c r="F41" s="1" t="s">
        <v>66</v>
      </c>
      <c r="G41" s="1" t="s">
        <v>99</v>
      </c>
      <c r="H41">
        <v>40</v>
      </c>
      <c r="I41" s="1" t="s">
        <v>36</v>
      </c>
      <c r="J41" s="1" t="s">
        <v>86</v>
      </c>
      <c r="K41" s="1" t="s">
        <v>38</v>
      </c>
      <c r="L41" s="1" t="s">
        <v>23</v>
      </c>
      <c r="M41">
        <v>42</v>
      </c>
      <c r="N41">
        <v>66329</v>
      </c>
      <c r="O41">
        <v>1</v>
      </c>
      <c r="P41">
        <v>3</v>
      </c>
      <c r="Q41">
        <v>30</v>
      </c>
      <c r="R41">
        <v>7</v>
      </c>
      <c r="S41">
        <v>6</v>
      </c>
      <c r="T41">
        <v>1</v>
      </c>
      <c r="U41">
        <v>4</v>
      </c>
      <c r="V41">
        <v>16</v>
      </c>
      <c r="W41">
        <v>1</v>
      </c>
    </row>
    <row r="42" spans="1:23" x14ac:dyDescent="0.25">
      <c r="A42" s="1" t="s">
        <v>23</v>
      </c>
      <c r="B42" s="1" t="s">
        <v>24</v>
      </c>
      <c r="C42" s="1" t="s">
        <v>39</v>
      </c>
      <c r="D42" s="1" t="s">
        <v>26</v>
      </c>
      <c r="E42" s="1" t="s">
        <v>55</v>
      </c>
      <c r="F42" s="1" t="s">
        <v>41</v>
      </c>
      <c r="G42" s="1" t="s">
        <v>100</v>
      </c>
      <c r="H42">
        <v>41</v>
      </c>
      <c r="I42" s="1" t="s">
        <v>36</v>
      </c>
      <c r="J42" s="1" t="s">
        <v>31</v>
      </c>
      <c r="K42" s="1" t="s">
        <v>50</v>
      </c>
      <c r="L42" s="1" t="s">
        <v>33</v>
      </c>
      <c r="M42">
        <v>56</v>
      </c>
      <c r="N42">
        <v>127097</v>
      </c>
      <c r="O42">
        <v>2</v>
      </c>
      <c r="P42">
        <v>4</v>
      </c>
      <c r="Q42">
        <v>28</v>
      </c>
      <c r="R42">
        <v>28</v>
      </c>
      <c r="S42">
        <v>2</v>
      </c>
      <c r="T42">
        <v>4</v>
      </c>
      <c r="U42">
        <v>4</v>
      </c>
      <c r="V42">
        <v>19</v>
      </c>
      <c r="W42">
        <v>5</v>
      </c>
    </row>
    <row r="43" spans="1:23" x14ac:dyDescent="0.25">
      <c r="A43" s="1" t="s">
        <v>23</v>
      </c>
      <c r="B43" s="1" t="s">
        <v>24</v>
      </c>
      <c r="C43" s="1" t="s">
        <v>57</v>
      </c>
      <c r="D43" s="1" t="s">
        <v>26</v>
      </c>
      <c r="E43" s="1" t="s">
        <v>60</v>
      </c>
      <c r="F43" s="1" t="s">
        <v>52</v>
      </c>
      <c r="G43" s="1" t="s">
        <v>101</v>
      </c>
      <c r="H43">
        <v>42</v>
      </c>
      <c r="I43" s="1" t="s">
        <v>30</v>
      </c>
      <c r="J43" s="1" t="s">
        <v>76</v>
      </c>
      <c r="K43" s="1" t="s">
        <v>32</v>
      </c>
      <c r="L43" s="1" t="s">
        <v>33</v>
      </c>
      <c r="M43">
        <v>31</v>
      </c>
      <c r="N43">
        <v>80879</v>
      </c>
      <c r="O43">
        <v>2</v>
      </c>
      <c r="P43">
        <v>1</v>
      </c>
      <c r="Q43">
        <v>10</v>
      </c>
      <c r="R43">
        <v>0</v>
      </c>
      <c r="S43">
        <v>3</v>
      </c>
      <c r="T43">
        <v>4</v>
      </c>
      <c r="U43">
        <v>4</v>
      </c>
      <c r="V43">
        <v>10</v>
      </c>
      <c r="W43">
        <v>1</v>
      </c>
    </row>
    <row r="44" spans="1:23" x14ac:dyDescent="0.25">
      <c r="A44" s="1" t="s">
        <v>23</v>
      </c>
      <c r="B44" s="1" t="s">
        <v>44</v>
      </c>
      <c r="C44" s="1" t="s">
        <v>39</v>
      </c>
      <c r="D44" s="1" t="s">
        <v>26</v>
      </c>
      <c r="E44" s="1" t="s">
        <v>46</v>
      </c>
      <c r="F44" s="1" t="s">
        <v>66</v>
      </c>
      <c r="G44" s="1" t="s">
        <v>102</v>
      </c>
      <c r="H44">
        <v>43</v>
      </c>
      <c r="I44" s="1" t="s">
        <v>30</v>
      </c>
      <c r="J44" s="1" t="s">
        <v>76</v>
      </c>
      <c r="K44" s="1" t="s">
        <v>32</v>
      </c>
      <c r="L44" s="1" t="s">
        <v>33</v>
      </c>
      <c r="M44">
        <v>48</v>
      </c>
      <c r="N44">
        <v>48087</v>
      </c>
      <c r="O44">
        <v>2</v>
      </c>
      <c r="P44">
        <v>2</v>
      </c>
      <c r="Q44">
        <v>17</v>
      </c>
      <c r="R44">
        <v>9</v>
      </c>
      <c r="S44">
        <v>0</v>
      </c>
      <c r="T44">
        <v>1</v>
      </c>
      <c r="U44">
        <v>3</v>
      </c>
      <c r="V44">
        <v>26</v>
      </c>
      <c r="W44">
        <v>3</v>
      </c>
    </row>
    <row r="45" spans="1:23" x14ac:dyDescent="0.25">
      <c r="A45" s="1" t="s">
        <v>23</v>
      </c>
      <c r="B45" s="1" t="s">
        <v>44</v>
      </c>
      <c r="C45" s="1" t="s">
        <v>65</v>
      </c>
      <c r="D45" s="1" t="s">
        <v>26</v>
      </c>
      <c r="E45" s="1" t="s">
        <v>27</v>
      </c>
      <c r="F45" s="1" t="s">
        <v>66</v>
      </c>
      <c r="G45" s="1" t="s">
        <v>103</v>
      </c>
      <c r="H45">
        <v>44</v>
      </c>
      <c r="I45" s="1" t="s">
        <v>36</v>
      </c>
      <c r="J45" s="1" t="s">
        <v>76</v>
      </c>
      <c r="K45" s="1" t="s">
        <v>32</v>
      </c>
      <c r="L45" s="1" t="s">
        <v>23</v>
      </c>
      <c r="M45">
        <v>38</v>
      </c>
      <c r="N45">
        <v>149195</v>
      </c>
      <c r="O45">
        <v>4</v>
      </c>
      <c r="P45">
        <v>4</v>
      </c>
      <c r="Q45">
        <v>5</v>
      </c>
      <c r="R45">
        <v>38</v>
      </c>
      <c r="S45">
        <v>0</v>
      </c>
      <c r="T45">
        <v>4</v>
      </c>
      <c r="U45">
        <v>4</v>
      </c>
      <c r="V45">
        <v>20</v>
      </c>
      <c r="W45">
        <v>3</v>
      </c>
    </row>
    <row r="46" spans="1:23" x14ac:dyDescent="0.25">
      <c r="A46" s="1" t="s">
        <v>23</v>
      </c>
      <c r="B46" s="1" t="s">
        <v>54</v>
      </c>
      <c r="C46" s="1" t="s">
        <v>34</v>
      </c>
      <c r="D46" s="1" t="s">
        <v>26</v>
      </c>
      <c r="E46" s="1" t="s">
        <v>46</v>
      </c>
      <c r="F46" s="1" t="s">
        <v>41</v>
      </c>
      <c r="G46" s="1" t="s">
        <v>104</v>
      </c>
      <c r="H46">
        <v>45</v>
      </c>
      <c r="I46" s="1" t="s">
        <v>30</v>
      </c>
      <c r="J46" s="1" t="s">
        <v>76</v>
      </c>
      <c r="K46" s="1" t="s">
        <v>32</v>
      </c>
      <c r="L46" s="1" t="s">
        <v>33</v>
      </c>
      <c r="M46">
        <v>32</v>
      </c>
      <c r="N46">
        <v>141338</v>
      </c>
      <c r="O46">
        <v>4</v>
      </c>
      <c r="P46">
        <v>3</v>
      </c>
      <c r="Q46">
        <v>11</v>
      </c>
      <c r="R46">
        <v>37</v>
      </c>
      <c r="S46">
        <v>3</v>
      </c>
      <c r="T46">
        <v>4</v>
      </c>
      <c r="U46">
        <v>3</v>
      </c>
      <c r="V46">
        <v>16</v>
      </c>
      <c r="W46">
        <v>3</v>
      </c>
    </row>
    <row r="47" spans="1:23" x14ac:dyDescent="0.25">
      <c r="A47" s="1" t="s">
        <v>23</v>
      </c>
      <c r="B47" s="1" t="s">
        <v>24</v>
      </c>
      <c r="C47" s="1" t="s">
        <v>34</v>
      </c>
      <c r="D47" s="1" t="s">
        <v>26</v>
      </c>
      <c r="E47" s="1" t="s">
        <v>60</v>
      </c>
      <c r="F47" s="1" t="s">
        <v>46</v>
      </c>
      <c r="G47" s="1" t="s">
        <v>105</v>
      </c>
      <c r="H47">
        <v>46</v>
      </c>
      <c r="I47" s="1" t="s">
        <v>36</v>
      </c>
      <c r="J47" s="1" t="s">
        <v>86</v>
      </c>
      <c r="K47" s="1" t="s">
        <v>38</v>
      </c>
      <c r="L47" s="1" t="s">
        <v>23</v>
      </c>
      <c r="M47">
        <v>56</v>
      </c>
      <c r="N47">
        <v>27619</v>
      </c>
      <c r="O47">
        <v>4</v>
      </c>
      <c r="P47">
        <v>1</v>
      </c>
      <c r="Q47">
        <v>20</v>
      </c>
      <c r="R47">
        <v>16</v>
      </c>
      <c r="S47">
        <v>2</v>
      </c>
      <c r="T47">
        <v>1</v>
      </c>
      <c r="U47">
        <v>4</v>
      </c>
      <c r="V47">
        <v>28</v>
      </c>
      <c r="W47">
        <v>5</v>
      </c>
    </row>
    <row r="48" spans="1:23" x14ac:dyDescent="0.25">
      <c r="A48" s="1" t="s">
        <v>23</v>
      </c>
      <c r="B48" s="1" t="s">
        <v>44</v>
      </c>
      <c r="C48" s="1" t="s">
        <v>25</v>
      </c>
      <c r="D48" s="1" t="s">
        <v>26</v>
      </c>
      <c r="E48" s="1" t="s">
        <v>51</v>
      </c>
      <c r="F48" s="1" t="s">
        <v>68</v>
      </c>
      <c r="G48" s="1" t="s">
        <v>106</v>
      </c>
      <c r="H48">
        <v>47</v>
      </c>
      <c r="I48" s="1" t="s">
        <v>30</v>
      </c>
      <c r="J48" s="1" t="s">
        <v>48</v>
      </c>
      <c r="K48" s="1" t="s">
        <v>32</v>
      </c>
      <c r="L48" s="1" t="s">
        <v>23</v>
      </c>
      <c r="M48">
        <v>60</v>
      </c>
      <c r="N48">
        <v>148676</v>
      </c>
      <c r="O48">
        <v>4</v>
      </c>
      <c r="P48">
        <v>1</v>
      </c>
      <c r="Q48">
        <v>13</v>
      </c>
      <c r="R48">
        <v>17</v>
      </c>
      <c r="S48">
        <v>4</v>
      </c>
      <c r="T48">
        <v>2</v>
      </c>
      <c r="U48">
        <v>4</v>
      </c>
      <c r="V48">
        <v>15</v>
      </c>
      <c r="W48">
        <v>4</v>
      </c>
    </row>
    <row r="49" spans="1:23" x14ac:dyDescent="0.25">
      <c r="A49" s="1" t="s">
        <v>23</v>
      </c>
      <c r="B49" s="1" t="s">
        <v>24</v>
      </c>
      <c r="C49" s="1" t="s">
        <v>57</v>
      </c>
      <c r="D49" s="1" t="s">
        <v>26</v>
      </c>
      <c r="E49" s="1" t="s">
        <v>51</v>
      </c>
      <c r="F49" s="1" t="s">
        <v>52</v>
      </c>
      <c r="G49" s="1" t="s">
        <v>107</v>
      </c>
      <c r="H49">
        <v>48</v>
      </c>
      <c r="I49" s="1" t="s">
        <v>30</v>
      </c>
      <c r="J49" s="1" t="s">
        <v>76</v>
      </c>
      <c r="K49" s="1" t="s">
        <v>32</v>
      </c>
      <c r="L49" s="1" t="s">
        <v>33</v>
      </c>
      <c r="M49">
        <v>56</v>
      </c>
      <c r="N49">
        <v>124952</v>
      </c>
      <c r="O49">
        <v>1</v>
      </c>
      <c r="P49">
        <v>2</v>
      </c>
      <c r="Q49">
        <v>7</v>
      </c>
      <c r="R49">
        <v>29</v>
      </c>
      <c r="S49">
        <v>0</v>
      </c>
      <c r="T49">
        <v>2</v>
      </c>
      <c r="U49">
        <v>4</v>
      </c>
      <c r="V49">
        <v>30</v>
      </c>
      <c r="W49">
        <v>3</v>
      </c>
    </row>
    <row r="50" spans="1:23" x14ac:dyDescent="0.25">
      <c r="A50" s="1" t="s">
        <v>23</v>
      </c>
      <c r="B50" s="1" t="s">
        <v>44</v>
      </c>
      <c r="C50" s="1" t="s">
        <v>34</v>
      </c>
      <c r="D50" s="1" t="s">
        <v>26</v>
      </c>
      <c r="E50" s="1" t="s">
        <v>40</v>
      </c>
      <c r="F50" s="1" t="s">
        <v>28</v>
      </c>
      <c r="G50" s="1" t="s">
        <v>108</v>
      </c>
      <c r="H50">
        <v>49</v>
      </c>
      <c r="I50" s="1" t="s">
        <v>36</v>
      </c>
      <c r="J50" s="1" t="s">
        <v>59</v>
      </c>
      <c r="K50" s="1" t="s">
        <v>50</v>
      </c>
      <c r="L50" s="1" t="s">
        <v>23</v>
      </c>
      <c r="M50">
        <v>33</v>
      </c>
      <c r="N50">
        <v>175123</v>
      </c>
      <c r="O50">
        <v>2</v>
      </c>
      <c r="P50">
        <v>1</v>
      </c>
      <c r="Q50">
        <v>17</v>
      </c>
      <c r="R50">
        <v>26</v>
      </c>
      <c r="S50">
        <v>2</v>
      </c>
      <c r="T50">
        <v>3</v>
      </c>
      <c r="U50">
        <v>3</v>
      </c>
      <c r="V50">
        <v>10</v>
      </c>
      <c r="W50">
        <v>3</v>
      </c>
    </row>
    <row r="51" spans="1:23" x14ac:dyDescent="0.25">
      <c r="A51" s="1" t="s">
        <v>23</v>
      </c>
      <c r="B51" s="1" t="s">
        <v>44</v>
      </c>
      <c r="C51" s="1" t="s">
        <v>39</v>
      </c>
      <c r="D51" s="1" t="s">
        <v>26</v>
      </c>
      <c r="E51" s="1" t="s">
        <v>46</v>
      </c>
      <c r="F51" s="1" t="s">
        <v>28</v>
      </c>
      <c r="G51" s="1" t="s">
        <v>109</v>
      </c>
      <c r="H51">
        <v>50</v>
      </c>
      <c r="I51" s="1" t="s">
        <v>36</v>
      </c>
      <c r="J51" s="1" t="s">
        <v>59</v>
      </c>
      <c r="K51" s="1" t="s">
        <v>38</v>
      </c>
      <c r="L51" s="1" t="s">
        <v>23</v>
      </c>
      <c r="M51">
        <v>42</v>
      </c>
      <c r="N51">
        <v>162681</v>
      </c>
      <c r="O51">
        <v>4</v>
      </c>
      <c r="P51">
        <v>4</v>
      </c>
      <c r="Q51">
        <v>20</v>
      </c>
      <c r="R51">
        <v>12</v>
      </c>
      <c r="S51">
        <v>5</v>
      </c>
      <c r="T51">
        <v>2</v>
      </c>
      <c r="U51">
        <v>4</v>
      </c>
      <c r="V51">
        <v>8</v>
      </c>
      <c r="W51">
        <v>4</v>
      </c>
    </row>
    <row r="52" spans="1:23" x14ac:dyDescent="0.25">
      <c r="A52" s="1" t="s">
        <v>23</v>
      </c>
      <c r="B52" s="1" t="s">
        <v>44</v>
      </c>
      <c r="C52" s="1" t="s">
        <v>39</v>
      </c>
      <c r="D52" s="1" t="s">
        <v>26</v>
      </c>
      <c r="E52" s="1" t="s">
        <v>46</v>
      </c>
      <c r="F52" s="1" t="s">
        <v>68</v>
      </c>
      <c r="G52" s="1" t="s">
        <v>110</v>
      </c>
      <c r="H52">
        <v>51</v>
      </c>
      <c r="I52" s="1" t="s">
        <v>30</v>
      </c>
      <c r="J52" s="1" t="s">
        <v>86</v>
      </c>
      <c r="K52" s="1" t="s">
        <v>50</v>
      </c>
      <c r="L52" s="1" t="s">
        <v>33</v>
      </c>
      <c r="M52">
        <v>53</v>
      </c>
      <c r="N52">
        <v>172712</v>
      </c>
      <c r="O52">
        <v>3</v>
      </c>
      <c r="P52">
        <v>1</v>
      </c>
      <c r="Q52">
        <v>28</v>
      </c>
      <c r="R52">
        <v>6</v>
      </c>
      <c r="S52">
        <v>4</v>
      </c>
      <c r="T52">
        <v>4</v>
      </c>
      <c r="U52">
        <v>3</v>
      </c>
      <c r="V52">
        <v>24</v>
      </c>
      <c r="W52">
        <v>2</v>
      </c>
    </row>
    <row r="53" spans="1:23" x14ac:dyDescent="0.25">
      <c r="A53" s="1" t="s">
        <v>23</v>
      </c>
      <c r="B53" s="1" t="s">
        <v>24</v>
      </c>
      <c r="C53" s="1" t="s">
        <v>39</v>
      </c>
      <c r="D53" s="1" t="s">
        <v>26</v>
      </c>
      <c r="E53" s="1" t="s">
        <v>55</v>
      </c>
      <c r="F53" s="1" t="s">
        <v>68</v>
      </c>
      <c r="G53" s="1" t="s">
        <v>111</v>
      </c>
      <c r="H53">
        <v>52</v>
      </c>
      <c r="I53" s="1" t="s">
        <v>36</v>
      </c>
      <c r="J53" s="1" t="s">
        <v>37</v>
      </c>
      <c r="K53" s="1" t="s">
        <v>32</v>
      </c>
      <c r="L53" s="1" t="s">
        <v>23</v>
      </c>
      <c r="M53">
        <v>26</v>
      </c>
      <c r="N53">
        <v>104131</v>
      </c>
      <c r="O53">
        <v>4</v>
      </c>
      <c r="P53">
        <v>3</v>
      </c>
      <c r="Q53">
        <v>40</v>
      </c>
      <c r="R53">
        <v>31</v>
      </c>
      <c r="S53">
        <v>6</v>
      </c>
      <c r="T53">
        <v>1</v>
      </c>
      <c r="U53">
        <v>3</v>
      </c>
      <c r="V53">
        <v>8</v>
      </c>
      <c r="W53">
        <v>3</v>
      </c>
    </row>
    <row r="54" spans="1:23" x14ac:dyDescent="0.25">
      <c r="A54" s="1" t="s">
        <v>33</v>
      </c>
      <c r="B54" s="1" t="s">
        <v>24</v>
      </c>
      <c r="C54" s="1" t="s">
        <v>39</v>
      </c>
      <c r="D54" s="1" t="s">
        <v>73</v>
      </c>
      <c r="E54" s="1" t="s">
        <v>40</v>
      </c>
      <c r="F54" s="1" t="s">
        <v>52</v>
      </c>
      <c r="G54" s="1" t="s">
        <v>112</v>
      </c>
      <c r="H54">
        <v>53</v>
      </c>
      <c r="I54" s="1" t="s">
        <v>30</v>
      </c>
      <c r="J54" s="1" t="s">
        <v>86</v>
      </c>
      <c r="K54" s="1" t="s">
        <v>50</v>
      </c>
      <c r="L54" s="1" t="s">
        <v>23</v>
      </c>
      <c r="M54">
        <v>22</v>
      </c>
      <c r="N54">
        <v>30056</v>
      </c>
      <c r="O54">
        <v>3</v>
      </c>
      <c r="P54">
        <v>1</v>
      </c>
      <c r="Q54">
        <v>18</v>
      </c>
      <c r="R54">
        <v>22</v>
      </c>
      <c r="S54">
        <v>2</v>
      </c>
      <c r="T54">
        <v>4</v>
      </c>
      <c r="U54">
        <v>3</v>
      </c>
      <c r="V54">
        <v>8</v>
      </c>
      <c r="W54">
        <v>5</v>
      </c>
    </row>
    <row r="55" spans="1:23" x14ac:dyDescent="0.25">
      <c r="A55" s="1" t="s">
        <v>23</v>
      </c>
      <c r="B55" s="1" t="s">
        <v>24</v>
      </c>
      <c r="C55" s="1" t="s">
        <v>39</v>
      </c>
      <c r="D55" s="1" t="s">
        <v>26</v>
      </c>
      <c r="E55" s="1" t="s">
        <v>55</v>
      </c>
      <c r="F55" s="1" t="s">
        <v>28</v>
      </c>
      <c r="G55" s="1" t="s">
        <v>113</v>
      </c>
      <c r="H55">
        <v>54</v>
      </c>
      <c r="I55" s="1" t="s">
        <v>30</v>
      </c>
      <c r="J55" s="1" t="s">
        <v>43</v>
      </c>
      <c r="K55" s="1" t="s">
        <v>38</v>
      </c>
      <c r="L55" s="1" t="s">
        <v>33</v>
      </c>
      <c r="M55">
        <v>52</v>
      </c>
      <c r="N55">
        <v>170871</v>
      </c>
      <c r="O55">
        <v>2</v>
      </c>
      <c r="P55">
        <v>2</v>
      </c>
      <c r="Q55">
        <v>29</v>
      </c>
      <c r="R55">
        <v>40</v>
      </c>
      <c r="S55">
        <v>2</v>
      </c>
      <c r="T55">
        <v>4</v>
      </c>
      <c r="U55">
        <v>4</v>
      </c>
      <c r="V55">
        <v>22</v>
      </c>
      <c r="W55">
        <v>1</v>
      </c>
    </row>
    <row r="56" spans="1:23" x14ac:dyDescent="0.25">
      <c r="A56" s="1" t="s">
        <v>33</v>
      </c>
      <c r="B56" s="1" t="s">
        <v>54</v>
      </c>
      <c r="C56" s="1" t="s">
        <v>39</v>
      </c>
      <c r="D56" s="1" t="s">
        <v>73</v>
      </c>
      <c r="E56" s="1" t="s">
        <v>27</v>
      </c>
      <c r="F56" s="1" t="s">
        <v>41</v>
      </c>
      <c r="G56" s="1" t="s">
        <v>114</v>
      </c>
      <c r="H56">
        <v>55</v>
      </c>
      <c r="I56" s="1" t="s">
        <v>30</v>
      </c>
      <c r="J56" s="1" t="s">
        <v>31</v>
      </c>
      <c r="K56" s="1" t="s">
        <v>38</v>
      </c>
      <c r="L56" s="1" t="s">
        <v>23</v>
      </c>
      <c r="M56">
        <v>58</v>
      </c>
      <c r="N56">
        <v>96421</v>
      </c>
      <c r="O56">
        <v>4</v>
      </c>
      <c r="P56">
        <v>3</v>
      </c>
      <c r="Q56">
        <v>29</v>
      </c>
      <c r="R56">
        <v>19</v>
      </c>
      <c r="S56">
        <v>1</v>
      </c>
      <c r="T56">
        <v>4</v>
      </c>
      <c r="U56">
        <v>4</v>
      </c>
      <c r="V56">
        <v>4</v>
      </c>
      <c r="W56">
        <v>2</v>
      </c>
    </row>
    <row r="57" spans="1:23" x14ac:dyDescent="0.25">
      <c r="A57" s="1" t="s">
        <v>23</v>
      </c>
      <c r="B57" s="1" t="s">
        <v>54</v>
      </c>
      <c r="C57" s="1" t="s">
        <v>34</v>
      </c>
      <c r="D57" s="1" t="s">
        <v>26</v>
      </c>
      <c r="E57" s="1" t="s">
        <v>27</v>
      </c>
      <c r="F57" s="1" t="s">
        <v>46</v>
      </c>
      <c r="G57" s="1" t="s">
        <v>115</v>
      </c>
      <c r="H57">
        <v>56</v>
      </c>
      <c r="I57" s="1" t="s">
        <v>30</v>
      </c>
      <c r="J57" s="1" t="s">
        <v>41</v>
      </c>
      <c r="K57" s="1" t="s">
        <v>38</v>
      </c>
      <c r="L57" s="1" t="s">
        <v>33</v>
      </c>
      <c r="M57">
        <v>57</v>
      </c>
      <c r="N57">
        <v>30856</v>
      </c>
      <c r="O57">
        <v>4</v>
      </c>
      <c r="P57">
        <v>3</v>
      </c>
      <c r="Q57">
        <v>14</v>
      </c>
      <c r="R57">
        <v>38</v>
      </c>
      <c r="S57">
        <v>6</v>
      </c>
      <c r="T57">
        <v>3</v>
      </c>
      <c r="U57">
        <v>3</v>
      </c>
      <c r="V57">
        <v>21</v>
      </c>
      <c r="W57">
        <v>2</v>
      </c>
    </row>
    <row r="58" spans="1:23" x14ac:dyDescent="0.25">
      <c r="A58" s="1" t="s">
        <v>23</v>
      </c>
      <c r="B58" s="1" t="s">
        <v>54</v>
      </c>
      <c r="C58" s="1" t="s">
        <v>39</v>
      </c>
      <c r="D58" s="1" t="s">
        <v>26</v>
      </c>
      <c r="E58" s="1" t="s">
        <v>46</v>
      </c>
      <c r="F58" s="1" t="s">
        <v>52</v>
      </c>
      <c r="G58" s="1" t="s">
        <v>116</v>
      </c>
      <c r="H58">
        <v>57</v>
      </c>
      <c r="I58" s="1" t="s">
        <v>30</v>
      </c>
      <c r="J58" s="1" t="s">
        <v>31</v>
      </c>
      <c r="K58" s="1" t="s">
        <v>32</v>
      </c>
      <c r="L58" s="1" t="s">
        <v>33</v>
      </c>
      <c r="M58">
        <v>40</v>
      </c>
      <c r="N58">
        <v>133559</v>
      </c>
      <c r="O58">
        <v>1</v>
      </c>
      <c r="P58">
        <v>3</v>
      </c>
      <c r="Q58">
        <v>8</v>
      </c>
      <c r="R58">
        <v>5</v>
      </c>
      <c r="S58">
        <v>2</v>
      </c>
      <c r="T58">
        <v>3</v>
      </c>
      <c r="U58">
        <v>4</v>
      </c>
      <c r="V58">
        <v>6</v>
      </c>
      <c r="W58">
        <v>2</v>
      </c>
    </row>
    <row r="59" spans="1:23" x14ac:dyDescent="0.25">
      <c r="A59" s="1" t="s">
        <v>23</v>
      </c>
      <c r="B59" s="1" t="s">
        <v>54</v>
      </c>
      <c r="C59" s="1" t="s">
        <v>39</v>
      </c>
      <c r="D59" s="1" t="s">
        <v>26</v>
      </c>
      <c r="E59" s="1" t="s">
        <v>27</v>
      </c>
      <c r="F59" s="1" t="s">
        <v>41</v>
      </c>
      <c r="G59" s="1" t="s">
        <v>117</v>
      </c>
      <c r="H59">
        <v>58</v>
      </c>
      <c r="I59" s="1" t="s">
        <v>36</v>
      </c>
      <c r="J59" s="1" t="s">
        <v>70</v>
      </c>
      <c r="K59" s="1" t="s">
        <v>38</v>
      </c>
      <c r="L59" s="1" t="s">
        <v>23</v>
      </c>
      <c r="M59">
        <v>39</v>
      </c>
      <c r="N59">
        <v>106792</v>
      </c>
      <c r="O59">
        <v>1</v>
      </c>
      <c r="P59">
        <v>4</v>
      </c>
      <c r="Q59">
        <v>4</v>
      </c>
      <c r="R59">
        <v>9</v>
      </c>
      <c r="S59">
        <v>6</v>
      </c>
      <c r="T59">
        <v>2</v>
      </c>
      <c r="U59">
        <v>4</v>
      </c>
      <c r="V59">
        <v>28</v>
      </c>
      <c r="W59">
        <v>5</v>
      </c>
    </row>
    <row r="60" spans="1:23" x14ac:dyDescent="0.25">
      <c r="A60" s="1" t="s">
        <v>23</v>
      </c>
      <c r="B60" s="1" t="s">
        <v>44</v>
      </c>
      <c r="C60" s="1" t="s">
        <v>65</v>
      </c>
      <c r="D60" s="1" t="s">
        <v>26</v>
      </c>
      <c r="E60" s="1" t="s">
        <v>60</v>
      </c>
      <c r="F60" s="1" t="s">
        <v>41</v>
      </c>
      <c r="G60" s="1" t="s">
        <v>118</v>
      </c>
      <c r="H60">
        <v>59</v>
      </c>
      <c r="I60" s="1" t="s">
        <v>30</v>
      </c>
      <c r="J60" s="1" t="s">
        <v>86</v>
      </c>
      <c r="K60" s="1" t="s">
        <v>38</v>
      </c>
      <c r="L60" s="1" t="s">
        <v>23</v>
      </c>
      <c r="M60">
        <v>58</v>
      </c>
      <c r="N60">
        <v>117883</v>
      </c>
      <c r="O60">
        <v>3</v>
      </c>
      <c r="P60">
        <v>1</v>
      </c>
      <c r="Q60">
        <v>14</v>
      </c>
      <c r="R60">
        <v>30</v>
      </c>
      <c r="S60">
        <v>0</v>
      </c>
      <c r="T60">
        <v>3</v>
      </c>
      <c r="U60">
        <v>3</v>
      </c>
      <c r="V60">
        <v>21</v>
      </c>
      <c r="W60">
        <v>1</v>
      </c>
    </row>
    <row r="61" spans="1:23" x14ac:dyDescent="0.25">
      <c r="A61" s="1" t="s">
        <v>23</v>
      </c>
      <c r="B61" s="1" t="s">
        <v>44</v>
      </c>
      <c r="C61" s="1" t="s">
        <v>39</v>
      </c>
      <c r="D61" s="1" t="s">
        <v>26</v>
      </c>
      <c r="E61" s="1" t="s">
        <v>46</v>
      </c>
      <c r="F61" s="1" t="s">
        <v>52</v>
      </c>
      <c r="G61" s="1" t="s">
        <v>119</v>
      </c>
      <c r="H61">
        <v>60</v>
      </c>
      <c r="I61" s="1" t="s">
        <v>36</v>
      </c>
      <c r="J61" s="1" t="s">
        <v>31</v>
      </c>
      <c r="K61" s="1" t="s">
        <v>50</v>
      </c>
      <c r="L61" s="1" t="s">
        <v>33</v>
      </c>
      <c r="M61">
        <v>23</v>
      </c>
      <c r="N61">
        <v>97787</v>
      </c>
      <c r="O61">
        <v>4</v>
      </c>
      <c r="P61">
        <v>1</v>
      </c>
      <c r="Q61">
        <v>6</v>
      </c>
      <c r="R61">
        <v>15</v>
      </c>
      <c r="S61">
        <v>4</v>
      </c>
      <c r="T61">
        <v>2</v>
      </c>
      <c r="U61">
        <v>4</v>
      </c>
      <c r="V61">
        <v>15</v>
      </c>
      <c r="W61">
        <v>3</v>
      </c>
    </row>
    <row r="62" spans="1:23" x14ac:dyDescent="0.25">
      <c r="A62" s="1" t="s">
        <v>23</v>
      </c>
      <c r="B62" s="1" t="s">
        <v>44</v>
      </c>
      <c r="C62" s="1" t="s">
        <v>39</v>
      </c>
      <c r="D62" s="1" t="s">
        <v>26</v>
      </c>
      <c r="E62" s="1" t="s">
        <v>51</v>
      </c>
      <c r="F62" s="1" t="s">
        <v>41</v>
      </c>
      <c r="G62" s="1" t="s">
        <v>120</v>
      </c>
      <c r="H62">
        <v>61</v>
      </c>
      <c r="I62" s="1" t="s">
        <v>30</v>
      </c>
      <c r="J62" s="1" t="s">
        <v>41</v>
      </c>
      <c r="K62" s="1" t="s">
        <v>32</v>
      </c>
      <c r="L62" s="1" t="s">
        <v>33</v>
      </c>
      <c r="M62">
        <v>52</v>
      </c>
      <c r="N62">
        <v>179389</v>
      </c>
      <c r="O62">
        <v>4</v>
      </c>
      <c r="P62">
        <v>3</v>
      </c>
      <c r="Q62">
        <v>2</v>
      </c>
      <c r="R62">
        <v>23</v>
      </c>
      <c r="S62">
        <v>1</v>
      </c>
      <c r="T62">
        <v>4</v>
      </c>
      <c r="U62">
        <v>4</v>
      </c>
      <c r="V62">
        <v>8</v>
      </c>
      <c r="W62">
        <v>3</v>
      </c>
    </row>
    <row r="63" spans="1:23" x14ac:dyDescent="0.25">
      <c r="A63" s="1" t="s">
        <v>23</v>
      </c>
      <c r="B63" s="1" t="s">
        <v>54</v>
      </c>
      <c r="C63" s="1" t="s">
        <v>39</v>
      </c>
      <c r="D63" s="1" t="s">
        <v>26</v>
      </c>
      <c r="E63" s="1" t="s">
        <v>51</v>
      </c>
      <c r="F63" s="1" t="s">
        <v>46</v>
      </c>
      <c r="G63" s="1" t="s">
        <v>121</v>
      </c>
      <c r="H63">
        <v>62</v>
      </c>
      <c r="I63" s="1" t="s">
        <v>30</v>
      </c>
      <c r="J63" s="1" t="s">
        <v>41</v>
      </c>
      <c r="K63" s="1" t="s">
        <v>38</v>
      </c>
      <c r="L63" s="1" t="s">
        <v>33</v>
      </c>
      <c r="M63">
        <v>28</v>
      </c>
      <c r="N63">
        <v>137201</v>
      </c>
      <c r="O63">
        <v>1</v>
      </c>
      <c r="P63">
        <v>2</v>
      </c>
      <c r="Q63">
        <v>40</v>
      </c>
      <c r="R63">
        <v>38</v>
      </c>
      <c r="S63">
        <v>0</v>
      </c>
      <c r="T63">
        <v>1</v>
      </c>
      <c r="U63">
        <v>4</v>
      </c>
      <c r="V63">
        <v>8</v>
      </c>
      <c r="W63">
        <v>2</v>
      </c>
    </row>
    <row r="64" spans="1:23" x14ac:dyDescent="0.25">
      <c r="A64" s="1" t="s">
        <v>23</v>
      </c>
      <c r="B64" s="1" t="s">
        <v>24</v>
      </c>
      <c r="C64" s="1" t="s">
        <v>34</v>
      </c>
      <c r="D64" s="1" t="s">
        <v>26</v>
      </c>
      <c r="E64" s="1" t="s">
        <v>51</v>
      </c>
      <c r="F64" s="1" t="s">
        <v>41</v>
      </c>
      <c r="G64" s="1" t="s">
        <v>122</v>
      </c>
      <c r="H64">
        <v>63</v>
      </c>
      <c r="I64" s="1" t="s">
        <v>30</v>
      </c>
      <c r="J64" s="1" t="s">
        <v>48</v>
      </c>
      <c r="K64" s="1" t="s">
        <v>38</v>
      </c>
      <c r="L64" s="1" t="s">
        <v>33</v>
      </c>
      <c r="M64">
        <v>59</v>
      </c>
      <c r="N64">
        <v>18743</v>
      </c>
      <c r="O64">
        <v>3</v>
      </c>
      <c r="P64">
        <v>2</v>
      </c>
      <c r="Q64">
        <v>8</v>
      </c>
      <c r="R64">
        <v>34</v>
      </c>
      <c r="S64">
        <v>2</v>
      </c>
      <c r="T64">
        <v>2</v>
      </c>
      <c r="U64">
        <v>3</v>
      </c>
      <c r="V64">
        <v>22</v>
      </c>
      <c r="W64">
        <v>1</v>
      </c>
    </row>
    <row r="65" spans="1:23" x14ac:dyDescent="0.25">
      <c r="A65" s="1" t="s">
        <v>23</v>
      </c>
      <c r="B65" s="1" t="s">
        <v>54</v>
      </c>
      <c r="C65" s="1" t="s">
        <v>34</v>
      </c>
      <c r="D65" s="1" t="s">
        <v>26</v>
      </c>
      <c r="E65" s="1" t="s">
        <v>55</v>
      </c>
      <c r="F65" s="1" t="s">
        <v>46</v>
      </c>
      <c r="G65" s="1" t="s">
        <v>123</v>
      </c>
      <c r="H65">
        <v>64</v>
      </c>
      <c r="I65" s="1" t="s">
        <v>30</v>
      </c>
      <c r="J65" s="1" t="s">
        <v>70</v>
      </c>
      <c r="K65" s="1" t="s">
        <v>38</v>
      </c>
      <c r="L65" s="1" t="s">
        <v>33</v>
      </c>
      <c r="M65">
        <v>29</v>
      </c>
      <c r="N65">
        <v>128352</v>
      </c>
      <c r="O65">
        <v>1</v>
      </c>
      <c r="P65">
        <v>1</v>
      </c>
      <c r="Q65">
        <v>30</v>
      </c>
      <c r="R65">
        <v>28</v>
      </c>
      <c r="S65">
        <v>6</v>
      </c>
      <c r="T65">
        <v>3</v>
      </c>
      <c r="U65">
        <v>3</v>
      </c>
      <c r="V65">
        <v>15</v>
      </c>
      <c r="W65">
        <v>5</v>
      </c>
    </row>
    <row r="66" spans="1:23" x14ac:dyDescent="0.25">
      <c r="A66" s="1" t="s">
        <v>23</v>
      </c>
      <c r="B66" s="1" t="s">
        <v>54</v>
      </c>
      <c r="C66" s="1" t="s">
        <v>39</v>
      </c>
      <c r="D66" s="1" t="s">
        <v>26</v>
      </c>
      <c r="E66" s="1" t="s">
        <v>46</v>
      </c>
      <c r="F66" s="1" t="s">
        <v>41</v>
      </c>
      <c r="G66" s="1" t="s">
        <v>124</v>
      </c>
      <c r="H66">
        <v>65</v>
      </c>
      <c r="I66" s="1" t="s">
        <v>36</v>
      </c>
      <c r="J66" s="1" t="s">
        <v>86</v>
      </c>
      <c r="K66" s="1" t="s">
        <v>32</v>
      </c>
      <c r="L66" s="1" t="s">
        <v>33</v>
      </c>
      <c r="M66">
        <v>24</v>
      </c>
      <c r="N66">
        <v>143562</v>
      </c>
      <c r="O66">
        <v>4</v>
      </c>
      <c r="P66">
        <v>4</v>
      </c>
      <c r="Q66">
        <v>6</v>
      </c>
      <c r="R66">
        <v>31</v>
      </c>
      <c r="S66">
        <v>5</v>
      </c>
      <c r="T66">
        <v>4</v>
      </c>
      <c r="U66">
        <v>3</v>
      </c>
      <c r="V66">
        <v>29</v>
      </c>
      <c r="W66">
        <v>1</v>
      </c>
    </row>
    <row r="67" spans="1:23" x14ac:dyDescent="0.25">
      <c r="A67" s="1" t="s">
        <v>23</v>
      </c>
      <c r="B67" s="1" t="s">
        <v>44</v>
      </c>
      <c r="C67" s="1" t="s">
        <v>34</v>
      </c>
      <c r="D67" s="1" t="s">
        <v>26</v>
      </c>
      <c r="E67" s="1" t="s">
        <v>55</v>
      </c>
      <c r="F67" s="1" t="s">
        <v>41</v>
      </c>
      <c r="G67" s="1" t="s">
        <v>125</v>
      </c>
      <c r="H67">
        <v>66</v>
      </c>
      <c r="I67" s="1" t="s">
        <v>36</v>
      </c>
      <c r="J67" s="1" t="s">
        <v>41</v>
      </c>
      <c r="K67" s="1" t="s">
        <v>32</v>
      </c>
      <c r="L67" s="1" t="s">
        <v>23</v>
      </c>
      <c r="M67">
        <v>50</v>
      </c>
      <c r="N67">
        <v>150527</v>
      </c>
      <c r="O67">
        <v>4</v>
      </c>
      <c r="P67">
        <v>1</v>
      </c>
      <c r="Q67">
        <v>7</v>
      </c>
      <c r="R67">
        <v>41</v>
      </c>
      <c r="S67">
        <v>5</v>
      </c>
      <c r="T67">
        <v>2</v>
      </c>
      <c r="U67">
        <v>4</v>
      </c>
      <c r="V67">
        <v>15</v>
      </c>
      <c r="W67">
        <v>2</v>
      </c>
    </row>
    <row r="68" spans="1:23" x14ac:dyDescent="0.25">
      <c r="A68" s="1" t="s">
        <v>23</v>
      </c>
      <c r="B68" s="1" t="s">
        <v>44</v>
      </c>
      <c r="C68" s="1" t="s">
        <v>65</v>
      </c>
      <c r="D68" s="1" t="s">
        <v>26</v>
      </c>
      <c r="E68" s="1" t="s">
        <v>40</v>
      </c>
      <c r="F68" s="1" t="s">
        <v>52</v>
      </c>
      <c r="G68" s="1" t="s">
        <v>126</v>
      </c>
      <c r="H68">
        <v>67</v>
      </c>
      <c r="I68" s="1" t="s">
        <v>30</v>
      </c>
      <c r="J68" s="1" t="s">
        <v>37</v>
      </c>
      <c r="K68" s="1" t="s">
        <v>38</v>
      </c>
      <c r="L68" s="1" t="s">
        <v>23</v>
      </c>
      <c r="M68">
        <v>37</v>
      </c>
      <c r="N68">
        <v>116120</v>
      </c>
      <c r="O68">
        <v>2</v>
      </c>
      <c r="P68">
        <v>4</v>
      </c>
      <c r="Q68">
        <v>4</v>
      </c>
      <c r="R68">
        <v>5</v>
      </c>
      <c r="S68">
        <v>6</v>
      </c>
      <c r="T68">
        <v>1</v>
      </c>
      <c r="U68">
        <v>3</v>
      </c>
      <c r="V68">
        <v>14</v>
      </c>
      <c r="W68">
        <v>1</v>
      </c>
    </row>
    <row r="69" spans="1:23" x14ac:dyDescent="0.25">
      <c r="A69" s="1" t="s">
        <v>23</v>
      </c>
      <c r="B69" s="1" t="s">
        <v>54</v>
      </c>
      <c r="C69" s="1" t="s">
        <v>34</v>
      </c>
      <c r="D69" s="1" t="s">
        <v>26</v>
      </c>
      <c r="E69" s="1" t="s">
        <v>55</v>
      </c>
      <c r="F69" s="1" t="s">
        <v>66</v>
      </c>
      <c r="G69" s="1" t="s">
        <v>127</v>
      </c>
      <c r="H69">
        <v>68</v>
      </c>
      <c r="I69" s="1" t="s">
        <v>36</v>
      </c>
      <c r="J69" s="1" t="s">
        <v>31</v>
      </c>
      <c r="K69" s="1" t="s">
        <v>38</v>
      </c>
      <c r="L69" s="1" t="s">
        <v>23</v>
      </c>
      <c r="M69">
        <v>48</v>
      </c>
      <c r="N69">
        <v>31486</v>
      </c>
      <c r="O69">
        <v>3</v>
      </c>
      <c r="P69">
        <v>3</v>
      </c>
      <c r="Q69">
        <v>22</v>
      </c>
      <c r="R69">
        <v>6</v>
      </c>
      <c r="S69">
        <v>4</v>
      </c>
      <c r="T69">
        <v>2</v>
      </c>
      <c r="U69">
        <v>3</v>
      </c>
      <c r="V69">
        <v>22</v>
      </c>
      <c r="W69">
        <v>4</v>
      </c>
    </row>
    <row r="70" spans="1:23" x14ac:dyDescent="0.25">
      <c r="A70" s="1" t="s">
        <v>23</v>
      </c>
      <c r="B70" s="1" t="s">
        <v>44</v>
      </c>
      <c r="C70" s="1" t="s">
        <v>34</v>
      </c>
      <c r="D70" s="1" t="s">
        <v>26</v>
      </c>
      <c r="E70" s="1" t="s">
        <v>51</v>
      </c>
      <c r="F70" s="1" t="s">
        <v>66</v>
      </c>
      <c r="G70" s="1" t="s">
        <v>128</v>
      </c>
      <c r="H70">
        <v>69</v>
      </c>
      <c r="I70" s="1" t="s">
        <v>36</v>
      </c>
      <c r="J70" s="1" t="s">
        <v>43</v>
      </c>
      <c r="K70" s="1" t="s">
        <v>50</v>
      </c>
      <c r="L70" s="1" t="s">
        <v>23</v>
      </c>
      <c r="M70">
        <v>56</v>
      </c>
      <c r="N70">
        <v>178844</v>
      </c>
      <c r="O70">
        <v>1</v>
      </c>
      <c r="P70">
        <v>3</v>
      </c>
      <c r="Q70">
        <v>1</v>
      </c>
      <c r="R70">
        <v>11</v>
      </c>
      <c r="S70">
        <v>2</v>
      </c>
      <c r="T70">
        <v>3</v>
      </c>
      <c r="U70">
        <v>4</v>
      </c>
      <c r="V70">
        <v>12</v>
      </c>
      <c r="W70">
        <v>1</v>
      </c>
    </row>
    <row r="71" spans="1:23" x14ac:dyDescent="0.25">
      <c r="A71" s="1" t="s">
        <v>23</v>
      </c>
      <c r="B71" s="1" t="s">
        <v>44</v>
      </c>
      <c r="C71" s="1" t="s">
        <v>34</v>
      </c>
      <c r="D71" s="1" t="s">
        <v>26</v>
      </c>
      <c r="E71" s="1" t="s">
        <v>46</v>
      </c>
      <c r="F71" s="1" t="s">
        <v>66</v>
      </c>
      <c r="G71" s="1" t="s">
        <v>129</v>
      </c>
      <c r="H71">
        <v>70</v>
      </c>
      <c r="I71" s="1" t="s">
        <v>30</v>
      </c>
      <c r="J71" s="1" t="s">
        <v>64</v>
      </c>
      <c r="K71" s="1" t="s">
        <v>50</v>
      </c>
      <c r="L71" s="1" t="s">
        <v>33</v>
      </c>
      <c r="M71">
        <v>45</v>
      </c>
      <c r="N71">
        <v>128056</v>
      </c>
      <c r="O71">
        <v>4</v>
      </c>
      <c r="P71">
        <v>3</v>
      </c>
      <c r="Q71">
        <v>10</v>
      </c>
      <c r="R71">
        <v>23</v>
      </c>
      <c r="S71">
        <v>2</v>
      </c>
      <c r="T71">
        <v>3</v>
      </c>
      <c r="U71">
        <v>3</v>
      </c>
      <c r="V71">
        <v>29</v>
      </c>
      <c r="W71">
        <v>1</v>
      </c>
    </row>
    <row r="72" spans="1:23" x14ac:dyDescent="0.25">
      <c r="A72" s="1" t="s">
        <v>23</v>
      </c>
      <c r="B72" s="1" t="s">
        <v>54</v>
      </c>
      <c r="C72" s="1" t="s">
        <v>65</v>
      </c>
      <c r="D72" s="1" t="s">
        <v>26</v>
      </c>
      <c r="E72" s="1" t="s">
        <v>60</v>
      </c>
      <c r="F72" s="1" t="s">
        <v>66</v>
      </c>
      <c r="G72" s="1" t="s">
        <v>130</v>
      </c>
      <c r="H72">
        <v>71</v>
      </c>
      <c r="I72" s="1" t="s">
        <v>36</v>
      </c>
      <c r="J72" s="1" t="s">
        <v>86</v>
      </c>
      <c r="K72" s="1" t="s">
        <v>32</v>
      </c>
      <c r="L72" s="1" t="s">
        <v>23</v>
      </c>
      <c r="M72">
        <v>52</v>
      </c>
      <c r="N72">
        <v>177141</v>
      </c>
      <c r="O72">
        <v>4</v>
      </c>
      <c r="P72">
        <v>4</v>
      </c>
      <c r="Q72">
        <v>17</v>
      </c>
      <c r="R72">
        <v>13</v>
      </c>
      <c r="S72">
        <v>6</v>
      </c>
      <c r="T72">
        <v>1</v>
      </c>
      <c r="U72">
        <v>4</v>
      </c>
      <c r="V72">
        <v>14</v>
      </c>
      <c r="W72">
        <v>1</v>
      </c>
    </row>
    <row r="73" spans="1:23" x14ac:dyDescent="0.25">
      <c r="A73" s="1" t="s">
        <v>23</v>
      </c>
      <c r="B73" s="1" t="s">
        <v>54</v>
      </c>
      <c r="C73" s="1" t="s">
        <v>39</v>
      </c>
      <c r="D73" s="1" t="s">
        <v>26</v>
      </c>
      <c r="E73" s="1" t="s">
        <v>40</v>
      </c>
      <c r="F73" s="1" t="s">
        <v>52</v>
      </c>
      <c r="G73" s="1" t="s">
        <v>131</v>
      </c>
      <c r="H73">
        <v>72</v>
      </c>
      <c r="I73" s="1" t="s">
        <v>36</v>
      </c>
      <c r="J73" s="1" t="s">
        <v>64</v>
      </c>
      <c r="K73" s="1" t="s">
        <v>50</v>
      </c>
      <c r="L73" s="1" t="s">
        <v>23</v>
      </c>
      <c r="M73">
        <v>59</v>
      </c>
      <c r="N73">
        <v>32360</v>
      </c>
      <c r="O73">
        <v>1</v>
      </c>
      <c r="P73">
        <v>2</v>
      </c>
      <c r="Q73">
        <v>19</v>
      </c>
      <c r="R73">
        <v>13</v>
      </c>
      <c r="S73">
        <v>6</v>
      </c>
      <c r="T73">
        <v>2</v>
      </c>
      <c r="U73">
        <v>4</v>
      </c>
      <c r="V73">
        <v>10</v>
      </c>
      <c r="W73">
        <v>3</v>
      </c>
    </row>
    <row r="74" spans="1:23" x14ac:dyDescent="0.25">
      <c r="A74" s="1" t="s">
        <v>23</v>
      </c>
      <c r="B74" s="1" t="s">
        <v>24</v>
      </c>
      <c r="C74" s="1" t="s">
        <v>39</v>
      </c>
      <c r="D74" s="1" t="s">
        <v>26</v>
      </c>
      <c r="E74" s="1" t="s">
        <v>40</v>
      </c>
      <c r="F74" s="1" t="s">
        <v>28</v>
      </c>
      <c r="G74" s="1" t="s">
        <v>132</v>
      </c>
      <c r="H74">
        <v>73</v>
      </c>
      <c r="I74" s="1" t="s">
        <v>36</v>
      </c>
      <c r="J74" s="1" t="s">
        <v>59</v>
      </c>
      <c r="K74" s="1" t="s">
        <v>32</v>
      </c>
      <c r="L74" s="1" t="s">
        <v>33</v>
      </c>
      <c r="M74">
        <v>53</v>
      </c>
      <c r="N74">
        <v>164466</v>
      </c>
      <c r="O74">
        <v>3</v>
      </c>
      <c r="P74">
        <v>1</v>
      </c>
      <c r="Q74">
        <v>25</v>
      </c>
      <c r="R74">
        <v>2</v>
      </c>
      <c r="S74">
        <v>3</v>
      </c>
      <c r="T74">
        <v>1</v>
      </c>
      <c r="U74">
        <v>4</v>
      </c>
      <c r="V74">
        <v>30</v>
      </c>
      <c r="W74">
        <v>1</v>
      </c>
    </row>
    <row r="75" spans="1:23" x14ac:dyDescent="0.25">
      <c r="A75" s="1" t="s">
        <v>33</v>
      </c>
      <c r="B75" s="1" t="s">
        <v>44</v>
      </c>
      <c r="C75" s="1" t="s">
        <v>39</v>
      </c>
      <c r="D75" s="1" t="s">
        <v>73</v>
      </c>
      <c r="E75" s="1" t="s">
        <v>51</v>
      </c>
      <c r="F75" s="1" t="s">
        <v>52</v>
      </c>
      <c r="G75" s="1" t="s">
        <v>133</v>
      </c>
      <c r="H75">
        <v>74</v>
      </c>
      <c r="I75" s="1" t="s">
        <v>36</v>
      </c>
      <c r="J75" s="1" t="s">
        <v>76</v>
      </c>
      <c r="K75" s="1" t="s">
        <v>50</v>
      </c>
      <c r="L75" s="1" t="s">
        <v>23</v>
      </c>
      <c r="M75">
        <v>22</v>
      </c>
      <c r="N75">
        <v>103136</v>
      </c>
      <c r="O75">
        <v>2</v>
      </c>
      <c r="P75">
        <v>4</v>
      </c>
      <c r="Q75">
        <v>23</v>
      </c>
      <c r="R75">
        <v>5</v>
      </c>
      <c r="S75">
        <v>3</v>
      </c>
      <c r="T75">
        <v>1</v>
      </c>
      <c r="U75">
        <v>3</v>
      </c>
      <c r="V75">
        <v>14</v>
      </c>
      <c r="W75">
        <v>5</v>
      </c>
    </row>
    <row r="76" spans="1:23" x14ac:dyDescent="0.25">
      <c r="A76" s="1" t="s">
        <v>23</v>
      </c>
      <c r="B76" s="1" t="s">
        <v>54</v>
      </c>
      <c r="C76" s="1" t="s">
        <v>25</v>
      </c>
      <c r="D76" s="1" t="s">
        <v>26</v>
      </c>
      <c r="E76" s="1" t="s">
        <v>27</v>
      </c>
      <c r="F76" s="1" t="s">
        <v>46</v>
      </c>
      <c r="G76" s="1" t="s">
        <v>134</v>
      </c>
      <c r="H76">
        <v>75</v>
      </c>
      <c r="I76" s="1" t="s">
        <v>30</v>
      </c>
      <c r="J76" s="1" t="s">
        <v>37</v>
      </c>
      <c r="K76" s="1" t="s">
        <v>50</v>
      </c>
      <c r="L76" s="1" t="s">
        <v>33</v>
      </c>
      <c r="M76">
        <v>53</v>
      </c>
      <c r="N76">
        <v>47891</v>
      </c>
      <c r="O76">
        <v>2</v>
      </c>
      <c r="P76">
        <v>3</v>
      </c>
      <c r="Q76">
        <v>22</v>
      </c>
      <c r="R76">
        <v>41</v>
      </c>
      <c r="S76">
        <v>6</v>
      </c>
      <c r="T76">
        <v>2</v>
      </c>
      <c r="U76">
        <v>3</v>
      </c>
      <c r="V76">
        <v>4</v>
      </c>
      <c r="W76">
        <v>2</v>
      </c>
    </row>
    <row r="77" spans="1:23" x14ac:dyDescent="0.25">
      <c r="A77" s="1" t="s">
        <v>23</v>
      </c>
      <c r="B77" s="1" t="s">
        <v>54</v>
      </c>
      <c r="C77" s="1" t="s">
        <v>34</v>
      </c>
      <c r="D77" s="1" t="s">
        <v>26</v>
      </c>
      <c r="E77" s="1" t="s">
        <v>55</v>
      </c>
      <c r="F77" s="1" t="s">
        <v>66</v>
      </c>
      <c r="G77" s="1" t="s">
        <v>135</v>
      </c>
      <c r="H77">
        <v>76</v>
      </c>
      <c r="I77" s="1" t="s">
        <v>30</v>
      </c>
      <c r="J77" s="1" t="s">
        <v>86</v>
      </c>
      <c r="K77" s="1" t="s">
        <v>38</v>
      </c>
      <c r="L77" s="1" t="s">
        <v>23</v>
      </c>
      <c r="M77">
        <v>57</v>
      </c>
      <c r="N77">
        <v>102727</v>
      </c>
      <c r="O77">
        <v>3</v>
      </c>
      <c r="P77">
        <v>2</v>
      </c>
      <c r="Q77">
        <v>28</v>
      </c>
      <c r="R77">
        <v>4</v>
      </c>
      <c r="S77">
        <v>3</v>
      </c>
      <c r="T77">
        <v>4</v>
      </c>
      <c r="U77">
        <v>4</v>
      </c>
      <c r="V77">
        <v>26</v>
      </c>
      <c r="W77">
        <v>3</v>
      </c>
    </row>
    <row r="78" spans="1:23" x14ac:dyDescent="0.25">
      <c r="A78" s="1" t="s">
        <v>23</v>
      </c>
      <c r="B78" s="1" t="s">
        <v>44</v>
      </c>
      <c r="C78" s="1" t="s">
        <v>34</v>
      </c>
      <c r="D78" s="1" t="s">
        <v>26</v>
      </c>
      <c r="E78" s="1" t="s">
        <v>60</v>
      </c>
      <c r="F78" s="1" t="s">
        <v>68</v>
      </c>
      <c r="G78" s="1" t="s">
        <v>136</v>
      </c>
      <c r="H78">
        <v>77</v>
      </c>
      <c r="I78" s="1" t="s">
        <v>36</v>
      </c>
      <c r="J78" s="1" t="s">
        <v>64</v>
      </c>
      <c r="K78" s="1" t="s">
        <v>50</v>
      </c>
      <c r="L78" s="1" t="s">
        <v>23</v>
      </c>
      <c r="M78">
        <v>39</v>
      </c>
      <c r="N78">
        <v>38114</v>
      </c>
      <c r="O78">
        <v>1</v>
      </c>
      <c r="P78">
        <v>4</v>
      </c>
      <c r="Q78">
        <v>29</v>
      </c>
      <c r="R78">
        <v>37</v>
      </c>
      <c r="S78">
        <v>4</v>
      </c>
      <c r="T78">
        <v>1</v>
      </c>
      <c r="U78">
        <v>4</v>
      </c>
      <c r="V78">
        <v>30</v>
      </c>
      <c r="W78">
        <v>5</v>
      </c>
    </row>
    <row r="79" spans="1:23" x14ac:dyDescent="0.25">
      <c r="A79" s="1" t="s">
        <v>23</v>
      </c>
      <c r="B79" s="1" t="s">
        <v>54</v>
      </c>
      <c r="C79" s="1" t="s">
        <v>34</v>
      </c>
      <c r="D79" s="1" t="s">
        <v>26</v>
      </c>
      <c r="E79" s="1" t="s">
        <v>40</v>
      </c>
      <c r="F79" s="1" t="s">
        <v>28</v>
      </c>
      <c r="G79" s="1" t="s">
        <v>137</v>
      </c>
      <c r="H79">
        <v>78</v>
      </c>
      <c r="I79" s="1" t="s">
        <v>30</v>
      </c>
      <c r="J79" s="1" t="s">
        <v>86</v>
      </c>
      <c r="K79" s="1" t="s">
        <v>50</v>
      </c>
      <c r="L79" s="1" t="s">
        <v>23</v>
      </c>
      <c r="M79">
        <v>26</v>
      </c>
      <c r="N79">
        <v>150264</v>
      </c>
      <c r="O79">
        <v>2</v>
      </c>
      <c r="P79">
        <v>1</v>
      </c>
      <c r="Q79">
        <v>15</v>
      </c>
      <c r="R79">
        <v>28</v>
      </c>
      <c r="S79">
        <v>3</v>
      </c>
      <c r="T79">
        <v>2</v>
      </c>
      <c r="U79">
        <v>4</v>
      </c>
      <c r="V79">
        <v>12</v>
      </c>
      <c r="W79">
        <v>3</v>
      </c>
    </row>
    <row r="80" spans="1:23" x14ac:dyDescent="0.25">
      <c r="A80" s="1" t="s">
        <v>23</v>
      </c>
      <c r="B80" s="1" t="s">
        <v>54</v>
      </c>
      <c r="C80" s="1" t="s">
        <v>65</v>
      </c>
      <c r="D80" s="1" t="s">
        <v>26</v>
      </c>
      <c r="E80" s="1" t="s">
        <v>46</v>
      </c>
      <c r="F80" s="1" t="s">
        <v>66</v>
      </c>
      <c r="G80" s="1" t="s">
        <v>138</v>
      </c>
      <c r="H80">
        <v>79</v>
      </c>
      <c r="I80" s="1" t="s">
        <v>36</v>
      </c>
      <c r="J80" s="1" t="s">
        <v>31</v>
      </c>
      <c r="K80" s="1" t="s">
        <v>38</v>
      </c>
      <c r="L80" s="1" t="s">
        <v>33</v>
      </c>
      <c r="M80">
        <v>56</v>
      </c>
      <c r="N80">
        <v>119335</v>
      </c>
      <c r="O80">
        <v>3</v>
      </c>
      <c r="P80">
        <v>3</v>
      </c>
      <c r="Q80">
        <v>38</v>
      </c>
      <c r="R80">
        <v>9</v>
      </c>
      <c r="S80">
        <v>2</v>
      </c>
      <c r="T80">
        <v>1</v>
      </c>
      <c r="U80">
        <v>3</v>
      </c>
      <c r="V80">
        <v>30</v>
      </c>
      <c r="W80">
        <v>3</v>
      </c>
    </row>
    <row r="81" spans="1:23" x14ac:dyDescent="0.25">
      <c r="A81" s="1" t="s">
        <v>23</v>
      </c>
      <c r="B81" s="1" t="s">
        <v>44</v>
      </c>
      <c r="C81" s="1" t="s">
        <v>39</v>
      </c>
      <c r="D81" s="1" t="s">
        <v>26</v>
      </c>
      <c r="E81" s="1" t="s">
        <v>46</v>
      </c>
      <c r="F81" s="1" t="s">
        <v>28</v>
      </c>
      <c r="G81" s="1" t="s">
        <v>139</v>
      </c>
      <c r="H81">
        <v>80</v>
      </c>
      <c r="I81" s="1" t="s">
        <v>30</v>
      </c>
      <c r="J81" s="1" t="s">
        <v>76</v>
      </c>
      <c r="K81" s="1" t="s">
        <v>32</v>
      </c>
      <c r="L81" s="1" t="s">
        <v>23</v>
      </c>
      <c r="M81">
        <v>42</v>
      </c>
      <c r="N81">
        <v>51500</v>
      </c>
      <c r="O81">
        <v>1</v>
      </c>
      <c r="P81">
        <v>4</v>
      </c>
      <c r="Q81">
        <v>32</v>
      </c>
      <c r="R81">
        <v>23</v>
      </c>
      <c r="S81">
        <v>0</v>
      </c>
      <c r="T81">
        <v>3</v>
      </c>
      <c r="U81">
        <v>4</v>
      </c>
      <c r="V81">
        <v>6</v>
      </c>
      <c r="W81">
        <v>2</v>
      </c>
    </row>
    <row r="82" spans="1:23" x14ac:dyDescent="0.25">
      <c r="A82" s="1" t="s">
        <v>23</v>
      </c>
      <c r="B82" s="1" t="s">
        <v>24</v>
      </c>
      <c r="C82" s="1" t="s">
        <v>65</v>
      </c>
      <c r="D82" s="1" t="s">
        <v>26</v>
      </c>
      <c r="E82" s="1" t="s">
        <v>55</v>
      </c>
      <c r="F82" s="1" t="s">
        <v>28</v>
      </c>
      <c r="G82" s="1" t="s">
        <v>140</v>
      </c>
      <c r="H82">
        <v>81</v>
      </c>
      <c r="I82" s="1" t="s">
        <v>30</v>
      </c>
      <c r="J82" s="1" t="s">
        <v>31</v>
      </c>
      <c r="K82" s="1" t="s">
        <v>38</v>
      </c>
      <c r="L82" s="1" t="s">
        <v>33</v>
      </c>
      <c r="M82">
        <v>53</v>
      </c>
      <c r="N82">
        <v>159497</v>
      </c>
      <c r="O82">
        <v>1</v>
      </c>
      <c r="P82">
        <v>3</v>
      </c>
      <c r="Q82">
        <v>39</v>
      </c>
      <c r="R82">
        <v>8</v>
      </c>
      <c r="S82">
        <v>4</v>
      </c>
      <c r="T82">
        <v>4</v>
      </c>
      <c r="U82">
        <v>3</v>
      </c>
      <c r="V82">
        <v>6</v>
      </c>
      <c r="W82">
        <v>2</v>
      </c>
    </row>
    <row r="83" spans="1:23" x14ac:dyDescent="0.25">
      <c r="A83" s="1" t="s">
        <v>23</v>
      </c>
      <c r="B83" s="1" t="s">
        <v>54</v>
      </c>
      <c r="C83" s="1" t="s">
        <v>65</v>
      </c>
      <c r="D83" s="1" t="s">
        <v>26</v>
      </c>
      <c r="E83" s="1" t="s">
        <v>55</v>
      </c>
      <c r="F83" s="1" t="s">
        <v>68</v>
      </c>
      <c r="G83" s="1" t="s">
        <v>141</v>
      </c>
      <c r="H83">
        <v>82</v>
      </c>
      <c r="I83" s="1" t="s">
        <v>30</v>
      </c>
      <c r="J83" s="1" t="s">
        <v>41</v>
      </c>
      <c r="K83" s="1" t="s">
        <v>38</v>
      </c>
      <c r="L83" s="1" t="s">
        <v>33</v>
      </c>
      <c r="M83">
        <v>49</v>
      </c>
      <c r="N83">
        <v>178063</v>
      </c>
      <c r="O83">
        <v>3</v>
      </c>
      <c r="P83">
        <v>4</v>
      </c>
      <c r="Q83">
        <v>14</v>
      </c>
      <c r="R83">
        <v>34</v>
      </c>
      <c r="S83">
        <v>1</v>
      </c>
      <c r="T83">
        <v>3</v>
      </c>
      <c r="U83">
        <v>4</v>
      </c>
      <c r="V83">
        <v>29</v>
      </c>
      <c r="W83">
        <v>2</v>
      </c>
    </row>
    <row r="84" spans="1:23" x14ac:dyDescent="0.25">
      <c r="A84" s="1" t="s">
        <v>23</v>
      </c>
      <c r="B84" s="1" t="s">
        <v>44</v>
      </c>
      <c r="C84" s="1" t="s">
        <v>65</v>
      </c>
      <c r="D84" s="1" t="s">
        <v>26</v>
      </c>
      <c r="E84" s="1" t="s">
        <v>40</v>
      </c>
      <c r="F84" s="1" t="s">
        <v>46</v>
      </c>
      <c r="G84" s="1" t="s">
        <v>142</v>
      </c>
      <c r="H84">
        <v>83</v>
      </c>
      <c r="I84" s="1" t="s">
        <v>36</v>
      </c>
      <c r="J84" s="1" t="s">
        <v>59</v>
      </c>
      <c r="K84" s="1" t="s">
        <v>32</v>
      </c>
      <c r="L84" s="1" t="s">
        <v>23</v>
      </c>
      <c r="M84">
        <v>31</v>
      </c>
      <c r="N84">
        <v>70349</v>
      </c>
      <c r="O84">
        <v>2</v>
      </c>
      <c r="P84">
        <v>3</v>
      </c>
      <c r="Q84">
        <v>3</v>
      </c>
      <c r="R84">
        <v>41</v>
      </c>
      <c r="S84">
        <v>3</v>
      </c>
      <c r="T84">
        <v>3</v>
      </c>
      <c r="U84">
        <v>3</v>
      </c>
      <c r="V84">
        <v>23</v>
      </c>
      <c r="W84">
        <v>5</v>
      </c>
    </row>
    <row r="85" spans="1:23" x14ac:dyDescent="0.25">
      <c r="A85" s="1" t="s">
        <v>33</v>
      </c>
      <c r="B85" s="1" t="s">
        <v>44</v>
      </c>
      <c r="C85" s="1" t="s">
        <v>34</v>
      </c>
      <c r="D85" s="1" t="s">
        <v>73</v>
      </c>
      <c r="E85" s="1" t="s">
        <v>55</v>
      </c>
      <c r="F85" s="1" t="s">
        <v>68</v>
      </c>
      <c r="G85" s="1" t="s">
        <v>143</v>
      </c>
      <c r="H85">
        <v>84</v>
      </c>
      <c r="I85" s="1" t="s">
        <v>30</v>
      </c>
      <c r="J85" s="1" t="s">
        <v>41</v>
      </c>
      <c r="K85" s="1" t="s">
        <v>50</v>
      </c>
      <c r="L85" s="1" t="s">
        <v>33</v>
      </c>
      <c r="M85">
        <v>49</v>
      </c>
      <c r="N85">
        <v>109641</v>
      </c>
      <c r="O85">
        <v>1</v>
      </c>
      <c r="P85">
        <v>4</v>
      </c>
      <c r="Q85">
        <v>3</v>
      </c>
      <c r="R85">
        <v>25</v>
      </c>
      <c r="S85">
        <v>4</v>
      </c>
      <c r="T85">
        <v>3</v>
      </c>
      <c r="U85">
        <v>3</v>
      </c>
      <c r="V85">
        <v>13</v>
      </c>
      <c r="W85">
        <v>1</v>
      </c>
    </row>
    <row r="86" spans="1:23" x14ac:dyDescent="0.25">
      <c r="A86" s="1" t="s">
        <v>23</v>
      </c>
      <c r="B86" s="1" t="s">
        <v>54</v>
      </c>
      <c r="C86" s="1" t="s">
        <v>25</v>
      </c>
      <c r="D86" s="1" t="s">
        <v>26</v>
      </c>
      <c r="E86" s="1" t="s">
        <v>60</v>
      </c>
      <c r="F86" s="1" t="s">
        <v>52</v>
      </c>
      <c r="G86" s="1" t="s">
        <v>144</v>
      </c>
      <c r="H86">
        <v>85</v>
      </c>
      <c r="I86" s="1" t="s">
        <v>36</v>
      </c>
      <c r="J86" s="1" t="s">
        <v>70</v>
      </c>
      <c r="K86" s="1" t="s">
        <v>50</v>
      </c>
      <c r="L86" s="1" t="s">
        <v>33</v>
      </c>
      <c r="M86">
        <v>39</v>
      </c>
      <c r="N86">
        <v>141851</v>
      </c>
      <c r="O86">
        <v>2</v>
      </c>
      <c r="P86">
        <v>4</v>
      </c>
      <c r="Q86">
        <v>28</v>
      </c>
      <c r="R86">
        <v>39</v>
      </c>
      <c r="S86">
        <v>0</v>
      </c>
      <c r="T86">
        <v>1</v>
      </c>
      <c r="U86">
        <v>3</v>
      </c>
      <c r="V86">
        <v>9</v>
      </c>
      <c r="W86">
        <v>2</v>
      </c>
    </row>
    <row r="87" spans="1:23" x14ac:dyDescent="0.25">
      <c r="A87" s="1" t="s">
        <v>23</v>
      </c>
      <c r="B87" s="1" t="s">
        <v>54</v>
      </c>
      <c r="C87" s="1" t="s">
        <v>39</v>
      </c>
      <c r="D87" s="1" t="s">
        <v>26</v>
      </c>
      <c r="E87" s="1" t="s">
        <v>46</v>
      </c>
      <c r="F87" s="1" t="s">
        <v>41</v>
      </c>
      <c r="G87" s="1" t="s">
        <v>145</v>
      </c>
      <c r="H87">
        <v>86</v>
      </c>
      <c r="I87" s="1" t="s">
        <v>36</v>
      </c>
      <c r="J87" s="1" t="s">
        <v>31</v>
      </c>
      <c r="K87" s="1" t="s">
        <v>38</v>
      </c>
      <c r="L87" s="1" t="s">
        <v>33</v>
      </c>
      <c r="M87">
        <v>40</v>
      </c>
      <c r="N87">
        <v>49941</v>
      </c>
      <c r="O87">
        <v>1</v>
      </c>
      <c r="P87">
        <v>2</v>
      </c>
      <c r="Q87">
        <v>26</v>
      </c>
      <c r="R87">
        <v>40</v>
      </c>
      <c r="S87">
        <v>6</v>
      </c>
      <c r="T87">
        <v>4</v>
      </c>
      <c r="U87">
        <v>3</v>
      </c>
      <c r="V87">
        <v>4</v>
      </c>
      <c r="W87">
        <v>4</v>
      </c>
    </row>
    <row r="88" spans="1:23" x14ac:dyDescent="0.25">
      <c r="A88" s="1" t="s">
        <v>23</v>
      </c>
      <c r="B88" s="1" t="s">
        <v>54</v>
      </c>
      <c r="C88" s="1" t="s">
        <v>25</v>
      </c>
      <c r="D88" s="1" t="s">
        <v>26</v>
      </c>
      <c r="E88" s="1" t="s">
        <v>51</v>
      </c>
      <c r="F88" s="1" t="s">
        <v>28</v>
      </c>
      <c r="G88" s="1" t="s">
        <v>146</v>
      </c>
      <c r="H88">
        <v>87</v>
      </c>
      <c r="I88" s="1" t="s">
        <v>30</v>
      </c>
      <c r="J88" s="1" t="s">
        <v>76</v>
      </c>
      <c r="K88" s="1" t="s">
        <v>38</v>
      </c>
      <c r="L88" s="1" t="s">
        <v>33</v>
      </c>
      <c r="M88">
        <v>60</v>
      </c>
      <c r="N88">
        <v>110488</v>
      </c>
      <c r="O88">
        <v>2</v>
      </c>
      <c r="P88">
        <v>4</v>
      </c>
      <c r="Q88">
        <v>11</v>
      </c>
      <c r="R88">
        <v>42</v>
      </c>
      <c r="S88">
        <v>5</v>
      </c>
      <c r="T88">
        <v>1</v>
      </c>
      <c r="U88">
        <v>4</v>
      </c>
      <c r="V88">
        <v>3</v>
      </c>
      <c r="W88">
        <v>5</v>
      </c>
    </row>
    <row r="89" spans="1:23" x14ac:dyDescent="0.25">
      <c r="A89" s="1" t="s">
        <v>23</v>
      </c>
      <c r="B89" s="1" t="s">
        <v>54</v>
      </c>
      <c r="C89" s="1" t="s">
        <v>65</v>
      </c>
      <c r="D89" s="1" t="s">
        <v>26</v>
      </c>
      <c r="E89" s="1" t="s">
        <v>51</v>
      </c>
      <c r="F89" s="1" t="s">
        <v>66</v>
      </c>
      <c r="G89" s="1" t="s">
        <v>147</v>
      </c>
      <c r="H89">
        <v>88</v>
      </c>
      <c r="I89" s="1" t="s">
        <v>36</v>
      </c>
      <c r="J89" s="1" t="s">
        <v>86</v>
      </c>
      <c r="K89" s="1" t="s">
        <v>50</v>
      </c>
      <c r="L89" s="1" t="s">
        <v>23</v>
      </c>
      <c r="M89">
        <v>44</v>
      </c>
      <c r="N89">
        <v>84492</v>
      </c>
      <c r="O89">
        <v>1</v>
      </c>
      <c r="P89">
        <v>3</v>
      </c>
      <c r="Q89">
        <v>4</v>
      </c>
      <c r="R89">
        <v>22</v>
      </c>
      <c r="S89">
        <v>1</v>
      </c>
      <c r="T89">
        <v>1</v>
      </c>
      <c r="U89">
        <v>4</v>
      </c>
      <c r="V89">
        <v>5</v>
      </c>
      <c r="W89">
        <v>1</v>
      </c>
    </row>
    <row r="90" spans="1:23" x14ac:dyDescent="0.25">
      <c r="A90" s="1" t="s">
        <v>23</v>
      </c>
      <c r="B90" s="1" t="s">
        <v>24</v>
      </c>
      <c r="C90" s="1" t="s">
        <v>34</v>
      </c>
      <c r="D90" s="1" t="s">
        <v>26</v>
      </c>
      <c r="E90" s="1" t="s">
        <v>46</v>
      </c>
      <c r="F90" s="1" t="s">
        <v>52</v>
      </c>
      <c r="G90" s="1" t="s">
        <v>148</v>
      </c>
      <c r="H90">
        <v>89</v>
      </c>
      <c r="I90" s="1" t="s">
        <v>36</v>
      </c>
      <c r="J90" s="1" t="s">
        <v>86</v>
      </c>
      <c r="K90" s="1" t="s">
        <v>32</v>
      </c>
      <c r="L90" s="1" t="s">
        <v>33</v>
      </c>
      <c r="M90">
        <v>29</v>
      </c>
      <c r="N90">
        <v>34541</v>
      </c>
      <c r="O90">
        <v>4</v>
      </c>
      <c r="P90">
        <v>1</v>
      </c>
      <c r="Q90">
        <v>18</v>
      </c>
      <c r="R90">
        <v>12</v>
      </c>
      <c r="S90">
        <v>0</v>
      </c>
      <c r="T90">
        <v>2</v>
      </c>
      <c r="U90">
        <v>3</v>
      </c>
      <c r="V90">
        <v>11</v>
      </c>
      <c r="W90">
        <v>3</v>
      </c>
    </row>
    <row r="91" spans="1:23" x14ac:dyDescent="0.25">
      <c r="A91" s="1" t="s">
        <v>23</v>
      </c>
      <c r="B91" s="1" t="s">
        <v>44</v>
      </c>
      <c r="C91" s="1" t="s">
        <v>57</v>
      </c>
      <c r="D91" s="1" t="s">
        <v>26</v>
      </c>
      <c r="E91" s="1" t="s">
        <v>51</v>
      </c>
      <c r="F91" s="1" t="s">
        <v>46</v>
      </c>
      <c r="G91" s="1" t="s">
        <v>149</v>
      </c>
      <c r="H91">
        <v>90</v>
      </c>
      <c r="I91" s="1" t="s">
        <v>30</v>
      </c>
      <c r="J91" s="1" t="s">
        <v>48</v>
      </c>
      <c r="K91" s="1" t="s">
        <v>38</v>
      </c>
      <c r="L91" s="1" t="s">
        <v>23</v>
      </c>
      <c r="M91">
        <v>24</v>
      </c>
      <c r="N91">
        <v>105012</v>
      </c>
      <c r="O91">
        <v>3</v>
      </c>
      <c r="P91">
        <v>1</v>
      </c>
      <c r="Q91">
        <v>23</v>
      </c>
      <c r="R91">
        <v>27</v>
      </c>
      <c r="S91">
        <v>3</v>
      </c>
      <c r="T91">
        <v>4</v>
      </c>
      <c r="U91">
        <v>4</v>
      </c>
      <c r="V91">
        <v>11</v>
      </c>
      <c r="W91">
        <v>2</v>
      </c>
    </row>
    <row r="92" spans="1:23" x14ac:dyDescent="0.25">
      <c r="A92" s="1" t="s">
        <v>23</v>
      </c>
      <c r="B92" s="1" t="s">
        <v>44</v>
      </c>
      <c r="C92" s="1" t="s">
        <v>39</v>
      </c>
      <c r="D92" s="1" t="s">
        <v>26</v>
      </c>
      <c r="E92" s="1" t="s">
        <v>51</v>
      </c>
      <c r="F92" s="1" t="s">
        <v>66</v>
      </c>
      <c r="G92" s="1" t="s">
        <v>150</v>
      </c>
      <c r="H92">
        <v>91</v>
      </c>
      <c r="I92" s="1" t="s">
        <v>36</v>
      </c>
      <c r="J92" s="1" t="s">
        <v>31</v>
      </c>
      <c r="K92" s="1" t="s">
        <v>38</v>
      </c>
      <c r="L92" s="1" t="s">
        <v>33</v>
      </c>
      <c r="M92">
        <v>55</v>
      </c>
      <c r="N92">
        <v>95009</v>
      </c>
      <c r="O92">
        <v>3</v>
      </c>
      <c r="P92">
        <v>1</v>
      </c>
      <c r="Q92">
        <v>5</v>
      </c>
      <c r="R92">
        <v>20</v>
      </c>
      <c r="S92">
        <v>5</v>
      </c>
      <c r="T92">
        <v>3</v>
      </c>
      <c r="U92">
        <v>4</v>
      </c>
      <c r="V92">
        <v>15</v>
      </c>
      <c r="W92">
        <v>5</v>
      </c>
    </row>
    <row r="93" spans="1:23" x14ac:dyDescent="0.25">
      <c r="A93" s="1" t="s">
        <v>23</v>
      </c>
      <c r="B93" s="1" t="s">
        <v>44</v>
      </c>
      <c r="C93" s="1" t="s">
        <v>34</v>
      </c>
      <c r="D93" s="1" t="s">
        <v>26</v>
      </c>
      <c r="E93" s="1" t="s">
        <v>40</v>
      </c>
      <c r="F93" s="1" t="s">
        <v>68</v>
      </c>
      <c r="G93" s="1" t="s">
        <v>151</v>
      </c>
      <c r="H93">
        <v>92</v>
      </c>
      <c r="I93" s="1" t="s">
        <v>30</v>
      </c>
      <c r="J93" s="1" t="s">
        <v>37</v>
      </c>
      <c r="K93" s="1" t="s">
        <v>32</v>
      </c>
      <c r="L93" s="1" t="s">
        <v>23</v>
      </c>
      <c r="M93">
        <v>38</v>
      </c>
      <c r="N93">
        <v>33036</v>
      </c>
      <c r="O93">
        <v>1</v>
      </c>
      <c r="P93">
        <v>4</v>
      </c>
      <c r="Q93">
        <v>23</v>
      </c>
      <c r="R93">
        <v>32</v>
      </c>
      <c r="S93">
        <v>6</v>
      </c>
      <c r="T93">
        <v>2</v>
      </c>
      <c r="U93">
        <v>3</v>
      </c>
      <c r="V93">
        <v>5</v>
      </c>
      <c r="W93">
        <v>5</v>
      </c>
    </row>
    <row r="94" spans="1:23" x14ac:dyDescent="0.25">
      <c r="A94" s="1" t="s">
        <v>23</v>
      </c>
      <c r="B94" s="1" t="s">
        <v>24</v>
      </c>
      <c r="C94" s="1" t="s">
        <v>34</v>
      </c>
      <c r="D94" s="1" t="s">
        <v>26</v>
      </c>
      <c r="E94" s="1" t="s">
        <v>55</v>
      </c>
      <c r="F94" s="1" t="s">
        <v>28</v>
      </c>
      <c r="G94" s="1" t="s">
        <v>152</v>
      </c>
      <c r="H94">
        <v>93</v>
      </c>
      <c r="I94" s="1" t="s">
        <v>36</v>
      </c>
      <c r="J94" s="1" t="s">
        <v>37</v>
      </c>
      <c r="K94" s="1" t="s">
        <v>38</v>
      </c>
      <c r="L94" s="1" t="s">
        <v>33</v>
      </c>
      <c r="M94">
        <v>59</v>
      </c>
      <c r="N94">
        <v>58222</v>
      </c>
      <c r="O94">
        <v>4</v>
      </c>
      <c r="P94">
        <v>3</v>
      </c>
      <c r="Q94">
        <v>23</v>
      </c>
      <c r="R94">
        <v>28</v>
      </c>
      <c r="S94">
        <v>6</v>
      </c>
      <c r="T94">
        <v>1</v>
      </c>
      <c r="U94">
        <v>3</v>
      </c>
      <c r="V94">
        <v>17</v>
      </c>
      <c r="W94">
        <v>3</v>
      </c>
    </row>
    <row r="95" spans="1:23" x14ac:dyDescent="0.25">
      <c r="A95" s="1" t="s">
        <v>23</v>
      </c>
      <c r="B95" s="1" t="s">
        <v>24</v>
      </c>
      <c r="C95" s="1" t="s">
        <v>39</v>
      </c>
      <c r="D95" s="1" t="s">
        <v>26</v>
      </c>
      <c r="E95" s="1" t="s">
        <v>55</v>
      </c>
      <c r="F95" s="1" t="s">
        <v>66</v>
      </c>
      <c r="G95" s="1" t="s">
        <v>153</v>
      </c>
      <c r="H95">
        <v>94</v>
      </c>
      <c r="I95" s="1" t="s">
        <v>30</v>
      </c>
      <c r="J95" s="1" t="s">
        <v>86</v>
      </c>
      <c r="K95" s="1" t="s">
        <v>32</v>
      </c>
      <c r="L95" s="1" t="s">
        <v>23</v>
      </c>
      <c r="M95">
        <v>56</v>
      </c>
      <c r="N95">
        <v>48870</v>
      </c>
      <c r="O95">
        <v>3</v>
      </c>
      <c r="P95">
        <v>3</v>
      </c>
      <c r="Q95">
        <v>28</v>
      </c>
      <c r="R95">
        <v>13</v>
      </c>
      <c r="S95">
        <v>4</v>
      </c>
      <c r="T95">
        <v>3</v>
      </c>
      <c r="U95">
        <v>4</v>
      </c>
      <c r="V95">
        <v>7</v>
      </c>
      <c r="W95">
        <v>1</v>
      </c>
    </row>
    <row r="96" spans="1:23" x14ac:dyDescent="0.25">
      <c r="A96" s="1" t="s">
        <v>23</v>
      </c>
      <c r="B96" s="1" t="s">
        <v>54</v>
      </c>
      <c r="C96" s="1" t="s">
        <v>25</v>
      </c>
      <c r="D96" s="1" t="s">
        <v>26</v>
      </c>
      <c r="E96" s="1" t="s">
        <v>55</v>
      </c>
      <c r="F96" s="1" t="s">
        <v>68</v>
      </c>
      <c r="G96" s="1" t="s">
        <v>154</v>
      </c>
      <c r="H96">
        <v>95</v>
      </c>
      <c r="I96" s="1" t="s">
        <v>30</v>
      </c>
      <c r="J96" s="1" t="s">
        <v>37</v>
      </c>
      <c r="K96" s="1" t="s">
        <v>32</v>
      </c>
      <c r="L96" s="1" t="s">
        <v>23</v>
      </c>
      <c r="M96">
        <v>25</v>
      </c>
      <c r="N96">
        <v>162178</v>
      </c>
      <c r="O96">
        <v>3</v>
      </c>
      <c r="P96">
        <v>3</v>
      </c>
      <c r="Q96">
        <v>10</v>
      </c>
      <c r="R96">
        <v>40</v>
      </c>
      <c r="S96">
        <v>1</v>
      </c>
      <c r="T96">
        <v>3</v>
      </c>
      <c r="U96">
        <v>3</v>
      </c>
      <c r="V96">
        <v>4</v>
      </c>
      <c r="W96">
        <v>2</v>
      </c>
    </row>
    <row r="97" spans="1:23" x14ac:dyDescent="0.25">
      <c r="A97" s="1" t="s">
        <v>23</v>
      </c>
      <c r="B97" s="1" t="s">
        <v>24</v>
      </c>
      <c r="C97" s="1" t="s">
        <v>34</v>
      </c>
      <c r="D97" s="1" t="s">
        <v>26</v>
      </c>
      <c r="E97" s="1" t="s">
        <v>40</v>
      </c>
      <c r="F97" s="1" t="s">
        <v>46</v>
      </c>
      <c r="G97" s="1" t="s">
        <v>155</v>
      </c>
      <c r="H97">
        <v>96</v>
      </c>
      <c r="I97" s="1" t="s">
        <v>36</v>
      </c>
      <c r="J97" s="1" t="s">
        <v>86</v>
      </c>
      <c r="K97" s="1" t="s">
        <v>32</v>
      </c>
      <c r="L97" s="1" t="s">
        <v>33</v>
      </c>
      <c r="M97">
        <v>60</v>
      </c>
      <c r="N97">
        <v>40600</v>
      </c>
      <c r="O97">
        <v>1</v>
      </c>
      <c r="P97">
        <v>3</v>
      </c>
      <c r="Q97">
        <v>25</v>
      </c>
      <c r="R97">
        <v>30</v>
      </c>
      <c r="S97">
        <v>4</v>
      </c>
      <c r="T97">
        <v>4</v>
      </c>
      <c r="U97">
        <v>4</v>
      </c>
      <c r="V97">
        <v>27</v>
      </c>
      <c r="W97">
        <v>5</v>
      </c>
    </row>
    <row r="98" spans="1:23" x14ac:dyDescent="0.25">
      <c r="A98" s="1" t="s">
        <v>23</v>
      </c>
      <c r="B98" s="1" t="s">
        <v>24</v>
      </c>
      <c r="C98" s="1" t="s">
        <v>57</v>
      </c>
      <c r="D98" s="1" t="s">
        <v>26</v>
      </c>
      <c r="E98" s="1" t="s">
        <v>46</v>
      </c>
      <c r="F98" s="1" t="s">
        <v>68</v>
      </c>
      <c r="G98" s="1" t="s">
        <v>156</v>
      </c>
      <c r="H98">
        <v>97</v>
      </c>
      <c r="I98" s="1" t="s">
        <v>36</v>
      </c>
      <c r="J98" s="1" t="s">
        <v>59</v>
      </c>
      <c r="K98" s="1" t="s">
        <v>38</v>
      </c>
      <c r="L98" s="1" t="s">
        <v>33</v>
      </c>
      <c r="M98">
        <v>56</v>
      </c>
      <c r="N98">
        <v>172084</v>
      </c>
      <c r="O98">
        <v>2</v>
      </c>
      <c r="P98">
        <v>2</v>
      </c>
      <c r="Q98">
        <v>27</v>
      </c>
      <c r="R98">
        <v>32</v>
      </c>
      <c r="S98">
        <v>6</v>
      </c>
      <c r="T98">
        <v>1</v>
      </c>
      <c r="U98">
        <v>3</v>
      </c>
      <c r="V98">
        <v>17</v>
      </c>
      <c r="W98">
        <v>2</v>
      </c>
    </row>
    <row r="99" spans="1:23" x14ac:dyDescent="0.25">
      <c r="A99" s="1" t="s">
        <v>23</v>
      </c>
      <c r="B99" s="1" t="s">
        <v>24</v>
      </c>
      <c r="C99" s="1" t="s">
        <v>34</v>
      </c>
      <c r="D99" s="1" t="s">
        <v>26</v>
      </c>
      <c r="E99" s="1" t="s">
        <v>46</v>
      </c>
      <c r="F99" s="1" t="s">
        <v>46</v>
      </c>
      <c r="G99" s="1" t="s">
        <v>157</v>
      </c>
      <c r="H99">
        <v>98</v>
      </c>
      <c r="I99" s="1" t="s">
        <v>36</v>
      </c>
      <c r="J99" s="1" t="s">
        <v>31</v>
      </c>
      <c r="K99" s="1" t="s">
        <v>38</v>
      </c>
      <c r="L99" s="1" t="s">
        <v>33</v>
      </c>
      <c r="M99">
        <v>56</v>
      </c>
      <c r="N99">
        <v>89945</v>
      </c>
      <c r="O99">
        <v>2</v>
      </c>
      <c r="P99">
        <v>3</v>
      </c>
      <c r="Q99">
        <v>39</v>
      </c>
      <c r="R99">
        <v>34</v>
      </c>
      <c r="S99">
        <v>0</v>
      </c>
      <c r="T99">
        <v>2</v>
      </c>
      <c r="U99">
        <v>3</v>
      </c>
      <c r="V99">
        <v>6</v>
      </c>
      <c r="W99">
        <v>5</v>
      </c>
    </row>
    <row r="100" spans="1:23" x14ac:dyDescent="0.25">
      <c r="A100" s="1" t="s">
        <v>23</v>
      </c>
      <c r="B100" s="1" t="s">
        <v>24</v>
      </c>
      <c r="C100" s="1" t="s">
        <v>39</v>
      </c>
      <c r="D100" s="1" t="s">
        <v>26</v>
      </c>
      <c r="E100" s="1" t="s">
        <v>51</v>
      </c>
      <c r="F100" s="1" t="s">
        <v>66</v>
      </c>
      <c r="G100" s="1" t="s">
        <v>158</v>
      </c>
      <c r="H100">
        <v>99</v>
      </c>
      <c r="I100" s="1" t="s">
        <v>30</v>
      </c>
      <c r="J100" s="1" t="s">
        <v>64</v>
      </c>
      <c r="K100" s="1" t="s">
        <v>32</v>
      </c>
      <c r="L100" s="1" t="s">
        <v>23</v>
      </c>
      <c r="M100">
        <v>34</v>
      </c>
      <c r="N100">
        <v>167982</v>
      </c>
      <c r="O100">
        <v>4</v>
      </c>
      <c r="P100">
        <v>1</v>
      </c>
      <c r="Q100">
        <v>31</v>
      </c>
      <c r="R100">
        <v>40</v>
      </c>
      <c r="S100">
        <v>4</v>
      </c>
      <c r="T100">
        <v>3</v>
      </c>
      <c r="U100">
        <v>4</v>
      </c>
      <c r="V100">
        <v>16</v>
      </c>
      <c r="W100">
        <v>2</v>
      </c>
    </row>
    <row r="101" spans="1:23" x14ac:dyDescent="0.25">
      <c r="A101" s="1" t="s">
        <v>23</v>
      </c>
      <c r="B101" s="1" t="s">
        <v>44</v>
      </c>
      <c r="C101" s="1" t="s">
        <v>39</v>
      </c>
      <c r="D101" s="1" t="s">
        <v>26</v>
      </c>
      <c r="E101" s="1" t="s">
        <v>27</v>
      </c>
      <c r="F101" s="1" t="s">
        <v>66</v>
      </c>
      <c r="G101" s="1" t="s">
        <v>159</v>
      </c>
      <c r="H101">
        <v>100</v>
      </c>
      <c r="I101" s="1" t="s">
        <v>30</v>
      </c>
      <c r="J101" s="1" t="s">
        <v>70</v>
      </c>
      <c r="K101" s="1" t="s">
        <v>38</v>
      </c>
      <c r="L101" s="1" t="s">
        <v>23</v>
      </c>
      <c r="M101">
        <v>51</v>
      </c>
      <c r="N101">
        <v>139750</v>
      </c>
      <c r="O101">
        <v>2</v>
      </c>
      <c r="P101">
        <v>3</v>
      </c>
      <c r="Q101">
        <v>38</v>
      </c>
      <c r="R101">
        <v>9</v>
      </c>
      <c r="S101">
        <v>2</v>
      </c>
      <c r="T101">
        <v>3</v>
      </c>
      <c r="U101">
        <v>4</v>
      </c>
      <c r="V101">
        <v>13</v>
      </c>
      <c r="W101">
        <v>2</v>
      </c>
    </row>
    <row r="102" spans="1:23" x14ac:dyDescent="0.25">
      <c r="A102" s="1" t="s">
        <v>23</v>
      </c>
      <c r="B102" s="1" t="s">
        <v>44</v>
      </c>
      <c r="C102" s="1" t="s">
        <v>39</v>
      </c>
      <c r="D102" s="1" t="s">
        <v>26</v>
      </c>
      <c r="E102" s="1" t="s">
        <v>60</v>
      </c>
      <c r="F102" s="1" t="s">
        <v>28</v>
      </c>
      <c r="G102" s="1" t="s">
        <v>160</v>
      </c>
      <c r="H102">
        <v>101</v>
      </c>
      <c r="I102" s="1" t="s">
        <v>36</v>
      </c>
      <c r="J102" s="1" t="s">
        <v>31</v>
      </c>
      <c r="K102" s="1" t="s">
        <v>38</v>
      </c>
      <c r="L102" s="1" t="s">
        <v>23</v>
      </c>
      <c r="M102">
        <v>36</v>
      </c>
      <c r="N102">
        <v>54930</v>
      </c>
      <c r="O102">
        <v>1</v>
      </c>
      <c r="P102">
        <v>1</v>
      </c>
      <c r="Q102">
        <v>18</v>
      </c>
      <c r="R102">
        <v>24</v>
      </c>
      <c r="S102">
        <v>6</v>
      </c>
      <c r="T102">
        <v>4</v>
      </c>
      <c r="U102">
        <v>3</v>
      </c>
      <c r="V102">
        <v>28</v>
      </c>
      <c r="W102">
        <v>2</v>
      </c>
    </row>
    <row r="103" spans="1:23" x14ac:dyDescent="0.25">
      <c r="A103" s="1" t="s">
        <v>23</v>
      </c>
      <c r="B103" s="1" t="s">
        <v>44</v>
      </c>
      <c r="C103" s="1" t="s">
        <v>65</v>
      </c>
      <c r="D103" s="1" t="s">
        <v>26</v>
      </c>
      <c r="E103" s="1" t="s">
        <v>46</v>
      </c>
      <c r="F103" s="1" t="s">
        <v>28</v>
      </c>
      <c r="G103" s="1" t="s">
        <v>161</v>
      </c>
      <c r="H103">
        <v>102</v>
      </c>
      <c r="I103" s="1" t="s">
        <v>30</v>
      </c>
      <c r="J103" s="1" t="s">
        <v>86</v>
      </c>
      <c r="K103" s="1" t="s">
        <v>32</v>
      </c>
      <c r="L103" s="1" t="s">
        <v>23</v>
      </c>
      <c r="M103">
        <v>52</v>
      </c>
      <c r="N103">
        <v>98882</v>
      </c>
      <c r="O103">
        <v>4</v>
      </c>
      <c r="P103">
        <v>1</v>
      </c>
      <c r="Q103">
        <v>5</v>
      </c>
      <c r="R103">
        <v>25</v>
      </c>
      <c r="S103">
        <v>4</v>
      </c>
      <c r="T103">
        <v>4</v>
      </c>
      <c r="U103">
        <v>3</v>
      </c>
      <c r="V103">
        <v>7</v>
      </c>
      <c r="W103">
        <v>5</v>
      </c>
    </row>
    <row r="104" spans="1:23" x14ac:dyDescent="0.25">
      <c r="A104" s="1" t="s">
        <v>23</v>
      </c>
      <c r="B104" s="1" t="s">
        <v>54</v>
      </c>
      <c r="C104" s="1" t="s">
        <v>25</v>
      </c>
      <c r="D104" s="1" t="s">
        <v>26</v>
      </c>
      <c r="E104" s="1" t="s">
        <v>40</v>
      </c>
      <c r="F104" s="1" t="s">
        <v>52</v>
      </c>
      <c r="G104" s="1" t="s">
        <v>162</v>
      </c>
      <c r="H104">
        <v>103</v>
      </c>
      <c r="I104" s="1" t="s">
        <v>36</v>
      </c>
      <c r="J104" s="1" t="s">
        <v>76</v>
      </c>
      <c r="K104" s="1" t="s">
        <v>32</v>
      </c>
      <c r="L104" s="1" t="s">
        <v>33</v>
      </c>
      <c r="M104">
        <v>27</v>
      </c>
      <c r="N104">
        <v>130965</v>
      </c>
      <c r="O104">
        <v>2</v>
      </c>
      <c r="P104">
        <v>3</v>
      </c>
      <c r="Q104">
        <v>23</v>
      </c>
      <c r="R104">
        <v>25</v>
      </c>
      <c r="S104">
        <v>2</v>
      </c>
      <c r="T104">
        <v>1</v>
      </c>
      <c r="U104">
        <v>4</v>
      </c>
      <c r="V104">
        <v>2</v>
      </c>
      <c r="W104">
        <v>5</v>
      </c>
    </row>
    <row r="105" spans="1:23" x14ac:dyDescent="0.25">
      <c r="A105" s="1" t="s">
        <v>23</v>
      </c>
      <c r="B105" s="1" t="s">
        <v>24</v>
      </c>
      <c r="C105" s="1" t="s">
        <v>34</v>
      </c>
      <c r="D105" s="1" t="s">
        <v>26</v>
      </c>
      <c r="E105" s="1" t="s">
        <v>27</v>
      </c>
      <c r="F105" s="1" t="s">
        <v>68</v>
      </c>
      <c r="G105" s="1" t="s">
        <v>163</v>
      </c>
      <c r="H105">
        <v>104</v>
      </c>
      <c r="I105" s="1" t="s">
        <v>36</v>
      </c>
      <c r="J105" s="1" t="s">
        <v>59</v>
      </c>
      <c r="K105" s="1" t="s">
        <v>38</v>
      </c>
      <c r="L105" s="1" t="s">
        <v>33</v>
      </c>
      <c r="M105">
        <v>29</v>
      </c>
      <c r="N105">
        <v>43344</v>
      </c>
      <c r="O105">
        <v>4</v>
      </c>
      <c r="P105">
        <v>3</v>
      </c>
      <c r="Q105">
        <v>21</v>
      </c>
      <c r="R105">
        <v>35</v>
      </c>
      <c r="S105">
        <v>2</v>
      </c>
      <c r="T105">
        <v>2</v>
      </c>
      <c r="U105">
        <v>3</v>
      </c>
      <c r="V105">
        <v>20</v>
      </c>
      <c r="W105">
        <v>5</v>
      </c>
    </row>
    <row r="106" spans="1:23" x14ac:dyDescent="0.25">
      <c r="A106" s="1" t="s">
        <v>23</v>
      </c>
      <c r="B106" s="1" t="s">
        <v>24</v>
      </c>
      <c r="C106" s="1" t="s">
        <v>25</v>
      </c>
      <c r="D106" s="1" t="s">
        <v>26</v>
      </c>
      <c r="E106" s="1" t="s">
        <v>60</v>
      </c>
      <c r="F106" s="1" t="s">
        <v>52</v>
      </c>
      <c r="G106" s="1" t="s">
        <v>164</v>
      </c>
      <c r="H106">
        <v>105</v>
      </c>
      <c r="I106" s="1" t="s">
        <v>36</v>
      </c>
      <c r="J106" s="1" t="s">
        <v>86</v>
      </c>
      <c r="K106" s="1" t="s">
        <v>32</v>
      </c>
      <c r="L106" s="1" t="s">
        <v>23</v>
      </c>
      <c r="M106">
        <v>30</v>
      </c>
      <c r="N106">
        <v>176927</v>
      </c>
      <c r="O106">
        <v>2</v>
      </c>
      <c r="P106">
        <v>3</v>
      </c>
      <c r="Q106">
        <v>39</v>
      </c>
      <c r="R106">
        <v>20</v>
      </c>
      <c r="S106">
        <v>1</v>
      </c>
      <c r="T106">
        <v>4</v>
      </c>
      <c r="U106">
        <v>4</v>
      </c>
      <c r="V106">
        <v>19</v>
      </c>
      <c r="W106">
        <v>3</v>
      </c>
    </row>
    <row r="107" spans="1:23" x14ac:dyDescent="0.25">
      <c r="A107" s="1" t="s">
        <v>23</v>
      </c>
      <c r="B107" s="1" t="s">
        <v>54</v>
      </c>
      <c r="C107" s="1" t="s">
        <v>39</v>
      </c>
      <c r="D107" s="1" t="s">
        <v>26</v>
      </c>
      <c r="E107" s="1" t="s">
        <v>40</v>
      </c>
      <c r="F107" s="1" t="s">
        <v>41</v>
      </c>
      <c r="G107" s="1" t="s">
        <v>165</v>
      </c>
      <c r="H107">
        <v>106</v>
      </c>
      <c r="I107" s="1" t="s">
        <v>36</v>
      </c>
      <c r="J107" s="1" t="s">
        <v>86</v>
      </c>
      <c r="K107" s="1" t="s">
        <v>50</v>
      </c>
      <c r="L107" s="1" t="s">
        <v>23</v>
      </c>
      <c r="M107">
        <v>42</v>
      </c>
      <c r="N107">
        <v>46732</v>
      </c>
      <c r="O107">
        <v>4</v>
      </c>
      <c r="P107">
        <v>3</v>
      </c>
      <c r="Q107">
        <v>40</v>
      </c>
      <c r="R107">
        <v>1</v>
      </c>
      <c r="S107">
        <v>4</v>
      </c>
      <c r="T107">
        <v>4</v>
      </c>
      <c r="U107">
        <v>4</v>
      </c>
      <c r="V107">
        <v>21</v>
      </c>
      <c r="W107">
        <v>5</v>
      </c>
    </row>
    <row r="108" spans="1:23" x14ac:dyDescent="0.25">
      <c r="A108" s="1" t="s">
        <v>23</v>
      </c>
      <c r="B108" s="1" t="s">
        <v>44</v>
      </c>
      <c r="C108" s="1" t="s">
        <v>39</v>
      </c>
      <c r="D108" s="1" t="s">
        <v>26</v>
      </c>
      <c r="E108" s="1" t="s">
        <v>51</v>
      </c>
      <c r="F108" s="1" t="s">
        <v>28</v>
      </c>
      <c r="G108" s="1" t="s">
        <v>166</v>
      </c>
      <c r="H108">
        <v>107</v>
      </c>
      <c r="I108" s="1" t="s">
        <v>36</v>
      </c>
      <c r="J108" s="1" t="s">
        <v>70</v>
      </c>
      <c r="K108" s="1" t="s">
        <v>32</v>
      </c>
      <c r="L108" s="1" t="s">
        <v>33</v>
      </c>
      <c r="M108">
        <v>23</v>
      </c>
      <c r="N108">
        <v>168095</v>
      </c>
      <c r="O108">
        <v>1</v>
      </c>
      <c r="P108">
        <v>2</v>
      </c>
      <c r="Q108">
        <v>1</v>
      </c>
      <c r="R108">
        <v>28</v>
      </c>
      <c r="S108">
        <v>2</v>
      </c>
      <c r="T108">
        <v>4</v>
      </c>
      <c r="U108">
        <v>3</v>
      </c>
      <c r="V108">
        <v>14</v>
      </c>
      <c r="W108">
        <v>2</v>
      </c>
    </row>
    <row r="109" spans="1:23" x14ac:dyDescent="0.25">
      <c r="A109" s="1" t="s">
        <v>23</v>
      </c>
      <c r="B109" s="1" t="s">
        <v>54</v>
      </c>
      <c r="C109" s="1" t="s">
        <v>65</v>
      </c>
      <c r="D109" s="1" t="s">
        <v>26</v>
      </c>
      <c r="E109" s="1" t="s">
        <v>40</v>
      </c>
      <c r="F109" s="1" t="s">
        <v>52</v>
      </c>
      <c r="G109" s="1" t="s">
        <v>167</v>
      </c>
      <c r="H109">
        <v>108</v>
      </c>
      <c r="I109" s="1" t="s">
        <v>30</v>
      </c>
      <c r="J109" s="1" t="s">
        <v>70</v>
      </c>
      <c r="K109" s="1" t="s">
        <v>32</v>
      </c>
      <c r="L109" s="1" t="s">
        <v>33</v>
      </c>
      <c r="M109">
        <v>56</v>
      </c>
      <c r="N109">
        <v>103209</v>
      </c>
      <c r="O109">
        <v>4</v>
      </c>
      <c r="P109">
        <v>4</v>
      </c>
      <c r="Q109">
        <v>20</v>
      </c>
      <c r="R109">
        <v>11</v>
      </c>
      <c r="S109">
        <v>3</v>
      </c>
      <c r="T109">
        <v>3</v>
      </c>
      <c r="U109">
        <v>4</v>
      </c>
      <c r="V109">
        <v>22</v>
      </c>
      <c r="W109">
        <v>3</v>
      </c>
    </row>
    <row r="110" spans="1:23" x14ac:dyDescent="0.25">
      <c r="A110" s="1" t="s">
        <v>23</v>
      </c>
      <c r="B110" s="1" t="s">
        <v>44</v>
      </c>
      <c r="C110" s="1" t="s">
        <v>34</v>
      </c>
      <c r="D110" s="1" t="s">
        <v>26</v>
      </c>
      <c r="E110" s="1" t="s">
        <v>55</v>
      </c>
      <c r="F110" s="1" t="s">
        <v>41</v>
      </c>
      <c r="G110" s="1" t="s">
        <v>168</v>
      </c>
      <c r="H110">
        <v>109</v>
      </c>
      <c r="I110" s="1" t="s">
        <v>36</v>
      </c>
      <c r="J110" s="1" t="s">
        <v>48</v>
      </c>
      <c r="K110" s="1" t="s">
        <v>38</v>
      </c>
      <c r="L110" s="1" t="s">
        <v>23</v>
      </c>
      <c r="M110">
        <v>34</v>
      </c>
      <c r="N110">
        <v>146189</v>
      </c>
      <c r="O110">
        <v>3</v>
      </c>
      <c r="P110">
        <v>4</v>
      </c>
      <c r="Q110">
        <v>22</v>
      </c>
      <c r="R110">
        <v>35</v>
      </c>
      <c r="S110">
        <v>6</v>
      </c>
      <c r="T110">
        <v>3</v>
      </c>
      <c r="U110">
        <v>4</v>
      </c>
      <c r="V110">
        <v>4</v>
      </c>
      <c r="W110">
        <v>5</v>
      </c>
    </row>
    <row r="111" spans="1:23" x14ac:dyDescent="0.25">
      <c r="A111" s="1" t="s">
        <v>23</v>
      </c>
      <c r="B111" s="1" t="s">
        <v>44</v>
      </c>
      <c r="C111" s="1" t="s">
        <v>34</v>
      </c>
      <c r="D111" s="1" t="s">
        <v>26</v>
      </c>
      <c r="E111" s="1" t="s">
        <v>40</v>
      </c>
      <c r="F111" s="1" t="s">
        <v>28</v>
      </c>
      <c r="G111" s="1" t="s">
        <v>169</v>
      </c>
      <c r="H111">
        <v>110</v>
      </c>
      <c r="I111" s="1" t="s">
        <v>36</v>
      </c>
      <c r="J111" s="1" t="s">
        <v>64</v>
      </c>
      <c r="K111" s="1" t="s">
        <v>38</v>
      </c>
      <c r="L111" s="1" t="s">
        <v>33</v>
      </c>
      <c r="M111">
        <v>43</v>
      </c>
      <c r="N111">
        <v>133966</v>
      </c>
      <c r="O111">
        <v>3</v>
      </c>
      <c r="P111">
        <v>4</v>
      </c>
      <c r="Q111">
        <v>13</v>
      </c>
      <c r="R111">
        <v>12</v>
      </c>
      <c r="S111">
        <v>6</v>
      </c>
      <c r="T111">
        <v>3</v>
      </c>
      <c r="U111">
        <v>4</v>
      </c>
      <c r="V111">
        <v>5</v>
      </c>
      <c r="W111">
        <v>1</v>
      </c>
    </row>
    <row r="112" spans="1:23" x14ac:dyDescent="0.25">
      <c r="A112" s="1" t="s">
        <v>23</v>
      </c>
      <c r="B112" s="1" t="s">
        <v>24</v>
      </c>
      <c r="C112" s="1" t="s">
        <v>39</v>
      </c>
      <c r="D112" s="1" t="s">
        <v>26</v>
      </c>
      <c r="E112" s="1" t="s">
        <v>55</v>
      </c>
      <c r="F112" s="1" t="s">
        <v>52</v>
      </c>
      <c r="G112" s="1" t="s">
        <v>170</v>
      </c>
      <c r="H112">
        <v>111</v>
      </c>
      <c r="I112" s="1" t="s">
        <v>30</v>
      </c>
      <c r="J112" s="1" t="s">
        <v>48</v>
      </c>
      <c r="K112" s="1" t="s">
        <v>50</v>
      </c>
      <c r="L112" s="1" t="s">
        <v>33</v>
      </c>
      <c r="M112">
        <v>47</v>
      </c>
      <c r="N112">
        <v>104584</v>
      </c>
      <c r="O112">
        <v>4</v>
      </c>
      <c r="P112">
        <v>1</v>
      </c>
      <c r="Q112">
        <v>8</v>
      </c>
      <c r="R112">
        <v>0</v>
      </c>
      <c r="S112">
        <v>4</v>
      </c>
      <c r="T112">
        <v>2</v>
      </c>
      <c r="U112">
        <v>4</v>
      </c>
      <c r="V112">
        <v>21</v>
      </c>
      <c r="W112">
        <v>4</v>
      </c>
    </row>
    <row r="113" spans="1:23" x14ac:dyDescent="0.25">
      <c r="A113" s="1" t="s">
        <v>23</v>
      </c>
      <c r="B113" s="1" t="s">
        <v>44</v>
      </c>
      <c r="C113" s="1" t="s">
        <v>34</v>
      </c>
      <c r="D113" s="1" t="s">
        <v>26</v>
      </c>
      <c r="E113" s="1" t="s">
        <v>27</v>
      </c>
      <c r="F113" s="1" t="s">
        <v>46</v>
      </c>
      <c r="G113" s="1" t="s">
        <v>171</v>
      </c>
      <c r="H113">
        <v>112</v>
      </c>
      <c r="I113" s="1" t="s">
        <v>30</v>
      </c>
      <c r="J113" s="1" t="s">
        <v>31</v>
      </c>
      <c r="K113" s="1" t="s">
        <v>32</v>
      </c>
      <c r="L113" s="1" t="s">
        <v>33</v>
      </c>
      <c r="M113">
        <v>55</v>
      </c>
      <c r="N113">
        <v>27777</v>
      </c>
      <c r="O113">
        <v>2</v>
      </c>
      <c r="P113">
        <v>4</v>
      </c>
      <c r="Q113">
        <v>11</v>
      </c>
      <c r="R113">
        <v>2</v>
      </c>
      <c r="S113">
        <v>6</v>
      </c>
      <c r="T113">
        <v>4</v>
      </c>
      <c r="U113">
        <v>4</v>
      </c>
      <c r="V113">
        <v>6</v>
      </c>
      <c r="W113">
        <v>3</v>
      </c>
    </row>
    <row r="114" spans="1:23" x14ac:dyDescent="0.25">
      <c r="A114" s="1" t="s">
        <v>33</v>
      </c>
      <c r="B114" s="1" t="s">
        <v>54</v>
      </c>
      <c r="C114" s="1" t="s">
        <v>25</v>
      </c>
      <c r="D114" s="1" t="s">
        <v>73</v>
      </c>
      <c r="E114" s="1" t="s">
        <v>51</v>
      </c>
      <c r="F114" s="1" t="s">
        <v>66</v>
      </c>
      <c r="G114" s="1" t="s">
        <v>172</v>
      </c>
      <c r="H114">
        <v>113</v>
      </c>
      <c r="I114" s="1" t="s">
        <v>36</v>
      </c>
      <c r="J114" s="1" t="s">
        <v>76</v>
      </c>
      <c r="K114" s="1" t="s">
        <v>38</v>
      </c>
      <c r="L114" s="1" t="s">
        <v>23</v>
      </c>
      <c r="M114">
        <v>29</v>
      </c>
      <c r="N114">
        <v>150176</v>
      </c>
      <c r="O114">
        <v>4</v>
      </c>
      <c r="P114">
        <v>3</v>
      </c>
      <c r="Q114">
        <v>12</v>
      </c>
      <c r="R114">
        <v>7</v>
      </c>
      <c r="S114">
        <v>2</v>
      </c>
      <c r="T114">
        <v>2</v>
      </c>
      <c r="U114">
        <v>4</v>
      </c>
      <c r="V114">
        <v>21</v>
      </c>
      <c r="W114">
        <v>3</v>
      </c>
    </row>
    <row r="115" spans="1:23" x14ac:dyDescent="0.25">
      <c r="A115" s="1" t="s">
        <v>23</v>
      </c>
      <c r="B115" s="1" t="s">
        <v>44</v>
      </c>
      <c r="C115" s="1" t="s">
        <v>25</v>
      </c>
      <c r="D115" s="1" t="s">
        <v>26</v>
      </c>
      <c r="E115" s="1" t="s">
        <v>27</v>
      </c>
      <c r="F115" s="1" t="s">
        <v>41</v>
      </c>
      <c r="G115" s="1" t="s">
        <v>173</v>
      </c>
      <c r="H115">
        <v>114</v>
      </c>
      <c r="I115" s="1" t="s">
        <v>30</v>
      </c>
      <c r="J115" s="1" t="s">
        <v>70</v>
      </c>
      <c r="K115" s="1" t="s">
        <v>32</v>
      </c>
      <c r="L115" s="1" t="s">
        <v>23</v>
      </c>
      <c r="M115">
        <v>48</v>
      </c>
      <c r="N115">
        <v>153077</v>
      </c>
      <c r="O115">
        <v>3</v>
      </c>
      <c r="P115">
        <v>1</v>
      </c>
      <c r="Q115">
        <v>25</v>
      </c>
      <c r="R115">
        <v>42</v>
      </c>
      <c r="S115">
        <v>0</v>
      </c>
      <c r="T115">
        <v>2</v>
      </c>
      <c r="U115">
        <v>3</v>
      </c>
      <c r="V115">
        <v>16</v>
      </c>
      <c r="W115">
        <v>3</v>
      </c>
    </row>
    <row r="116" spans="1:23" x14ac:dyDescent="0.25">
      <c r="A116" s="1" t="s">
        <v>33</v>
      </c>
      <c r="B116" s="1" t="s">
        <v>24</v>
      </c>
      <c r="C116" s="1" t="s">
        <v>25</v>
      </c>
      <c r="D116" s="1" t="s">
        <v>73</v>
      </c>
      <c r="E116" s="1" t="s">
        <v>40</v>
      </c>
      <c r="F116" s="1" t="s">
        <v>68</v>
      </c>
      <c r="G116" s="1" t="s">
        <v>174</v>
      </c>
      <c r="H116">
        <v>115</v>
      </c>
      <c r="I116" s="1" t="s">
        <v>36</v>
      </c>
      <c r="J116" s="1" t="s">
        <v>37</v>
      </c>
      <c r="K116" s="1" t="s">
        <v>38</v>
      </c>
      <c r="L116" s="1" t="s">
        <v>33</v>
      </c>
      <c r="M116">
        <v>37</v>
      </c>
      <c r="N116">
        <v>112254</v>
      </c>
      <c r="O116">
        <v>2</v>
      </c>
      <c r="P116">
        <v>1</v>
      </c>
      <c r="Q116">
        <v>7</v>
      </c>
      <c r="R116">
        <v>29</v>
      </c>
      <c r="S116">
        <v>2</v>
      </c>
      <c r="T116">
        <v>2</v>
      </c>
      <c r="U116">
        <v>4</v>
      </c>
      <c r="V116">
        <v>22</v>
      </c>
      <c r="W116">
        <v>5</v>
      </c>
    </row>
    <row r="117" spans="1:23" x14ac:dyDescent="0.25">
      <c r="A117" s="1" t="s">
        <v>33</v>
      </c>
      <c r="B117" s="1" t="s">
        <v>54</v>
      </c>
      <c r="C117" s="1" t="s">
        <v>65</v>
      </c>
      <c r="D117" s="1" t="s">
        <v>73</v>
      </c>
      <c r="E117" s="1" t="s">
        <v>27</v>
      </c>
      <c r="F117" s="1" t="s">
        <v>66</v>
      </c>
      <c r="G117" s="1" t="s">
        <v>175</v>
      </c>
      <c r="H117">
        <v>116</v>
      </c>
      <c r="I117" s="1" t="s">
        <v>36</v>
      </c>
      <c r="J117" s="1" t="s">
        <v>37</v>
      </c>
      <c r="K117" s="1" t="s">
        <v>32</v>
      </c>
      <c r="L117" s="1" t="s">
        <v>33</v>
      </c>
      <c r="M117">
        <v>35</v>
      </c>
      <c r="N117">
        <v>53014</v>
      </c>
      <c r="O117">
        <v>4</v>
      </c>
      <c r="P117">
        <v>2</v>
      </c>
      <c r="Q117">
        <v>29</v>
      </c>
      <c r="R117">
        <v>38</v>
      </c>
      <c r="S117">
        <v>2</v>
      </c>
      <c r="T117">
        <v>4</v>
      </c>
      <c r="U117">
        <v>4</v>
      </c>
      <c r="V117">
        <v>25</v>
      </c>
      <c r="W117">
        <v>5</v>
      </c>
    </row>
    <row r="118" spans="1:23" x14ac:dyDescent="0.25">
      <c r="A118" s="1" t="s">
        <v>23</v>
      </c>
      <c r="B118" s="1" t="s">
        <v>54</v>
      </c>
      <c r="C118" s="1" t="s">
        <v>65</v>
      </c>
      <c r="D118" s="1" t="s">
        <v>26</v>
      </c>
      <c r="E118" s="1" t="s">
        <v>55</v>
      </c>
      <c r="F118" s="1" t="s">
        <v>41</v>
      </c>
      <c r="G118" s="1" t="s">
        <v>176</v>
      </c>
      <c r="H118">
        <v>117</v>
      </c>
      <c r="I118" s="1" t="s">
        <v>30</v>
      </c>
      <c r="J118" s="1" t="s">
        <v>59</v>
      </c>
      <c r="K118" s="1" t="s">
        <v>38</v>
      </c>
      <c r="L118" s="1" t="s">
        <v>23</v>
      </c>
      <c r="M118">
        <v>25</v>
      </c>
      <c r="N118">
        <v>165893</v>
      </c>
      <c r="O118">
        <v>1</v>
      </c>
      <c r="P118">
        <v>1</v>
      </c>
      <c r="Q118">
        <v>35</v>
      </c>
      <c r="R118">
        <v>32</v>
      </c>
      <c r="S118">
        <v>1</v>
      </c>
      <c r="T118">
        <v>2</v>
      </c>
      <c r="U118">
        <v>3</v>
      </c>
      <c r="V118">
        <v>11</v>
      </c>
      <c r="W118">
        <v>5</v>
      </c>
    </row>
    <row r="119" spans="1:23" x14ac:dyDescent="0.25">
      <c r="A119" s="1" t="s">
        <v>23</v>
      </c>
      <c r="B119" s="1" t="s">
        <v>54</v>
      </c>
      <c r="C119" s="1" t="s">
        <v>39</v>
      </c>
      <c r="D119" s="1" t="s">
        <v>26</v>
      </c>
      <c r="E119" s="1" t="s">
        <v>46</v>
      </c>
      <c r="F119" s="1" t="s">
        <v>68</v>
      </c>
      <c r="G119" s="1" t="s">
        <v>177</v>
      </c>
      <c r="H119">
        <v>118</v>
      </c>
      <c r="I119" s="1" t="s">
        <v>30</v>
      </c>
      <c r="J119" s="1" t="s">
        <v>59</v>
      </c>
      <c r="K119" s="1" t="s">
        <v>38</v>
      </c>
      <c r="L119" s="1" t="s">
        <v>33</v>
      </c>
      <c r="M119">
        <v>50</v>
      </c>
      <c r="N119">
        <v>52588</v>
      </c>
      <c r="O119">
        <v>4</v>
      </c>
      <c r="P119">
        <v>4</v>
      </c>
      <c r="Q119">
        <v>36</v>
      </c>
      <c r="R119">
        <v>3</v>
      </c>
      <c r="S119">
        <v>4</v>
      </c>
      <c r="T119">
        <v>4</v>
      </c>
      <c r="U119">
        <v>4</v>
      </c>
      <c r="V119">
        <v>24</v>
      </c>
      <c r="W119">
        <v>1</v>
      </c>
    </row>
    <row r="120" spans="1:23" x14ac:dyDescent="0.25">
      <c r="A120" s="1" t="s">
        <v>23</v>
      </c>
      <c r="B120" s="1" t="s">
        <v>24</v>
      </c>
      <c r="C120" s="1" t="s">
        <v>65</v>
      </c>
      <c r="D120" s="1" t="s">
        <v>26</v>
      </c>
      <c r="E120" s="1" t="s">
        <v>46</v>
      </c>
      <c r="F120" s="1" t="s">
        <v>41</v>
      </c>
      <c r="G120" s="1" t="s">
        <v>178</v>
      </c>
      <c r="H120">
        <v>119</v>
      </c>
      <c r="I120" s="1" t="s">
        <v>30</v>
      </c>
      <c r="J120" s="1" t="s">
        <v>64</v>
      </c>
      <c r="K120" s="1" t="s">
        <v>38</v>
      </c>
      <c r="L120" s="1" t="s">
        <v>23</v>
      </c>
      <c r="M120">
        <v>25</v>
      </c>
      <c r="N120">
        <v>159862</v>
      </c>
      <c r="O120">
        <v>1</v>
      </c>
      <c r="P120">
        <v>1</v>
      </c>
      <c r="Q120">
        <v>30</v>
      </c>
      <c r="R120">
        <v>2</v>
      </c>
      <c r="S120">
        <v>2</v>
      </c>
      <c r="T120">
        <v>4</v>
      </c>
      <c r="U120">
        <v>3</v>
      </c>
      <c r="V120">
        <v>25</v>
      </c>
      <c r="W120">
        <v>2</v>
      </c>
    </row>
    <row r="121" spans="1:23" x14ac:dyDescent="0.25">
      <c r="A121" s="1" t="s">
        <v>23</v>
      </c>
      <c r="B121" s="1" t="s">
        <v>44</v>
      </c>
      <c r="C121" s="1" t="s">
        <v>57</v>
      </c>
      <c r="D121" s="1" t="s">
        <v>26</v>
      </c>
      <c r="E121" s="1" t="s">
        <v>46</v>
      </c>
      <c r="F121" s="1" t="s">
        <v>46</v>
      </c>
      <c r="G121" s="1" t="s">
        <v>179</v>
      </c>
      <c r="H121">
        <v>120</v>
      </c>
      <c r="I121" s="1" t="s">
        <v>36</v>
      </c>
      <c r="J121" s="1" t="s">
        <v>86</v>
      </c>
      <c r="K121" s="1" t="s">
        <v>38</v>
      </c>
      <c r="L121" s="1" t="s">
        <v>23</v>
      </c>
      <c r="M121">
        <v>26</v>
      </c>
      <c r="N121">
        <v>159374</v>
      </c>
      <c r="O121">
        <v>2</v>
      </c>
      <c r="P121">
        <v>3</v>
      </c>
      <c r="Q121">
        <v>7</v>
      </c>
      <c r="R121">
        <v>11</v>
      </c>
      <c r="S121">
        <v>4</v>
      </c>
      <c r="T121">
        <v>4</v>
      </c>
      <c r="U121">
        <v>3</v>
      </c>
      <c r="V121">
        <v>24</v>
      </c>
      <c r="W121">
        <v>2</v>
      </c>
    </row>
    <row r="122" spans="1:23" x14ac:dyDescent="0.25">
      <c r="A122" s="1" t="s">
        <v>23</v>
      </c>
      <c r="B122" s="1" t="s">
        <v>44</v>
      </c>
      <c r="C122" s="1" t="s">
        <v>65</v>
      </c>
      <c r="D122" s="1" t="s">
        <v>26</v>
      </c>
      <c r="E122" s="1" t="s">
        <v>27</v>
      </c>
      <c r="F122" s="1" t="s">
        <v>52</v>
      </c>
      <c r="G122" s="1" t="s">
        <v>180</v>
      </c>
      <c r="H122">
        <v>121</v>
      </c>
      <c r="I122" s="1" t="s">
        <v>36</v>
      </c>
      <c r="J122" s="1" t="s">
        <v>59</v>
      </c>
      <c r="K122" s="1" t="s">
        <v>38</v>
      </c>
      <c r="L122" s="1" t="s">
        <v>33</v>
      </c>
      <c r="M122">
        <v>36</v>
      </c>
      <c r="N122">
        <v>138750</v>
      </c>
      <c r="O122">
        <v>3</v>
      </c>
      <c r="P122">
        <v>2</v>
      </c>
      <c r="Q122">
        <v>17</v>
      </c>
      <c r="R122">
        <v>12</v>
      </c>
      <c r="S122">
        <v>5</v>
      </c>
      <c r="T122">
        <v>1</v>
      </c>
      <c r="U122">
        <v>3</v>
      </c>
      <c r="V122">
        <v>26</v>
      </c>
      <c r="W122">
        <v>4</v>
      </c>
    </row>
    <row r="123" spans="1:23" x14ac:dyDescent="0.25">
      <c r="A123" s="1" t="s">
        <v>23</v>
      </c>
      <c r="B123" s="1" t="s">
        <v>24</v>
      </c>
      <c r="C123" s="1" t="s">
        <v>65</v>
      </c>
      <c r="D123" s="1" t="s">
        <v>26</v>
      </c>
      <c r="E123" s="1" t="s">
        <v>60</v>
      </c>
      <c r="F123" s="1" t="s">
        <v>28</v>
      </c>
      <c r="G123" s="1" t="s">
        <v>181</v>
      </c>
      <c r="H123">
        <v>122</v>
      </c>
      <c r="I123" s="1" t="s">
        <v>30</v>
      </c>
      <c r="J123" s="1" t="s">
        <v>31</v>
      </c>
      <c r="K123" s="1" t="s">
        <v>32</v>
      </c>
      <c r="L123" s="1" t="s">
        <v>33</v>
      </c>
      <c r="M123">
        <v>49</v>
      </c>
      <c r="N123">
        <v>174705</v>
      </c>
      <c r="O123">
        <v>1</v>
      </c>
      <c r="P123">
        <v>2</v>
      </c>
      <c r="Q123">
        <v>2</v>
      </c>
      <c r="R123">
        <v>25</v>
      </c>
      <c r="S123">
        <v>3</v>
      </c>
      <c r="T123">
        <v>2</v>
      </c>
      <c r="U123">
        <v>3</v>
      </c>
      <c r="V123">
        <v>25</v>
      </c>
      <c r="W123">
        <v>1</v>
      </c>
    </row>
    <row r="124" spans="1:23" x14ac:dyDescent="0.25">
      <c r="A124" s="1" t="s">
        <v>23</v>
      </c>
      <c r="B124" s="1" t="s">
        <v>54</v>
      </c>
      <c r="C124" s="1" t="s">
        <v>57</v>
      </c>
      <c r="D124" s="1" t="s">
        <v>26</v>
      </c>
      <c r="E124" s="1" t="s">
        <v>55</v>
      </c>
      <c r="F124" s="1" t="s">
        <v>41</v>
      </c>
      <c r="G124" s="1" t="s">
        <v>182</v>
      </c>
      <c r="H124">
        <v>123</v>
      </c>
      <c r="I124" s="1" t="s">
        <v>36</v>
      </c>
      <c r="J124" s="1" t="s">
        <v>43</v>
      </c>
      <c r="K124" s="1" t="s">
        <v>32</v>
      </c>
      <c r="L124" s="1" t="s">
        <v>23</v>
      </c>
      <c r="M124">
        <v>36</v>
      </c>
      <c r="N124">
        <v>97105</v>
      </c>
      <c r="O124">
        <v>2</v>
      </c>
      <c r="P124">
        <v>2</v>
      </c>
      <c r="Q124">
        <v>26</v>
      </c>
      <c r="R124">
        <v>19</v>
      </c>
      <c r="S124">
        <v>2</v>
      </c>
      <c r="T124">
        <v>1</v>
      </c>
      <c r="U124">
        <v>3</v>
      </c>
      <c r="V124">
        <v>21</v>
      </c>
      <c r="W124">
        <v>4</v>
      </c>
    </row>
    <row r="125" spans="1:23" x14ac:dyDescent="0.25">
      <c r="A125" s="1" t="s">
        <v>23</v>
      </c>
      <c r="B125" s="1" t="s">
        <v>54</v>
      </c>
      <c r="C125" s="1" t="s">
        <v>25</v>
      </c>
      <c r="D125" s="1" t="s">
        <v>26</v>
      </c>
      <c r="E125" s="1" t="s">
        <v>27</v>
      </c>
      <c r="F125" s="1" t="s">
        <v>52</v>
      </c>
      <c r="G125" s="1" t="s">
        <v>183</v>
      </c>
      <c r="H125">
        <v>124</v>
      </c>
      <c r="I125" s="1" t="s">
        <v>36</v>
      </c>
      <c r="J125" s="1" t="s">
        <v>59</v>
      </c>
      <c r="K125" s="1" t="s">
        <v>38</v>
      </c>
      <c r="L125" s="1" t="s">
        <v>23</v>
      </c>
      <c r="M125">
        <v>47</v>
      </c>
      <c r="N125">
        <v>57116</v>
      </c>
      <c r="O125">
        <v>3</v>
      </c>
      <c r="P125">
        <v>4</v>
      </c>
      <c r="Q125">
        <v>11</v>
      </c>
      <c r="R125">
        <v>34</v>
      </c>
      <c r="S125">
        <v>3</v>
      </c>
      <c r="T125">
        <v>2</v>
      </c>
      <c r="U125">
        <v>3</v>
      </c>
      <c r="V125">
        <v>10</v>
      </c>
      <c r="W125">
        <v>2</v>
      </c>
    </row>
    <row r="126" spans="1:23" x14ac:dyDescent="0.25">
      <c r="A126" s="1" t="s">
        <v>23</v>
      </c>
      <c r="B126" s="1" t="s">
        <v>44</v>
      </c>
      <c r="C126" s="1" t="s">
        <v>65</v>
      </c>
      <c r="D126" s="1" t="s">
        <v>26</v>
      </c>
      <c r="E126" s="1" t="s">
        <v>51</v>
      </c>
      <c r="F126" s="1" t="s">
        <v>68</v>
      </c>
      <c r="G126" s="1" t="s">
        <v>184</v>
      </c>
      <c r="H126">
        <v>125</v>
      </c>
      <c r="I126" s="1" t="s">
        <v>30</v>
      </c>
      <c r="J126" s="1" t="s">
        <v>41</v>
      </c>
      <c r="K126" s="1" t="s">
        <v>50</v>
      </c>
      <c r="L126" s="1" t="s">
        <v>23</v>
      </c>
      <c r="M126">
        <v>34</v>
      </c>
      <c r="N126">
        <v>104576</v>
      </c>
      <c r="O126">
        <v>1</v>
      </c>
      <c r="P126">
        <v>4</v>
      </c>
      <c r="Q126">
        <v>23</v>
      </c>
      <c r="R126">
        <v>5</v>
      </c>
      <c r="S126">
        <v>4</v>
      </c>
      <c r="T126">
        <v>2</v>
      </c>
      <c r="U126">
        <v>3</v>
      </c>
      <c r="V126">
        <v>9</v>
      </c>
      <c r="W126">
        <v>4</v>
      </c>
    </row>
    <row r="127" spans="1:23" x14ac:dyDescent="0.25">
      <c r="A127" s="1" t="s">
        <v>23</v>
      </c>
      <c r="B127" s="1" t="s">
        <v>24</v>
      </c>
      <c r="C127" s="1" t="s">
        <v>39</v>
      </c>
      <c r="D127" s="1" t="s">
        <v>26</v>
      </c>
      <c r="E127" s="1" t="s">
        <v>60</v>
      </c>
      <c r="F127" s="1" t="s">
        <v>41</v>
      </c>
      <c r="G127" s="1" t="s">
        <v>185</v>
      </c>
      <c r="H127">
        <v>126</v>
      </c>
      <c r="I127" s="1" t="s">
        <v>30</v>
      </c>
      <c r="J127" s="1" t="s">
        <v>86</v>
      </c>
      <c r="K127" s="1" t="s">
        <v>50</v>
      </c>
      <c r="L127" s="1" t="s">
        <v>23</v>
      </c>
      <c r="M127">
        <v>40</v>
      </c>
      <c r="N127">
        <v>22019</v>
      </c>
      <c r="O127">
        <v>2</v>
      </c>
      <c r="P127">
        <v>2</v>
      </c>
      <c r="Q127">
        <v>7</v>
      </c>
      <c r="R127">
        <v>30</v>
      </c>
      <c r="S127">
        <v>1</v>
      </c>
      <c r="T127">
        <v>2</v>
      </c>
      <c r="U127">
        <v>4</v>
      </c>
      <c r="V127">
        <v>30</v>
      </c>
      <c r="W127">
        <v>2</v>
      </c>
    </row>
    <row r="128" spans="1:23" x14ac:dyDescent="0.25">
      <c r="A128" s="1" t="s">
        <v>23</v>
      </c>
      <c r="B128" s="1" t="s">
        <v>44</v>
      </c>
      <c r="C128" s="1" t="s">
        <v>65</v>
      </c>
      <c r="D128" s="1" t="s">
        <v>26</v>
      </c>
      <c r="E128" s="1" t="s">
        <v>40</v>
      </c>
      <c r="F128" s="1" t="s">
        <v>41</v>
      </c>
      <c r="G128" s="1" t="s">
        <v>186</v>
      </c>
      <c r="H128">
        <v>127</v>
      </c>
      <c r="I128" s="1" t="s">
        <v>36</v>
      </c>
      <c r="J128" s="1" t="s">
        <v>76</v>
      </c>
      <c r="K128" s="1" t="s">
        <v>38</v>
      </c>
      <c r="L128" s="1" t="s">
        <v>23</v>
      </c>
      <c r="M128">
        <v>53</v>
      </c>
      <c r="N128">
        <v>148358</v>
      </c>
      <c r="O128">
        <v>4</v>
      </c>
      <c r="P128">
        <v>1</v>
      </c>
      <c r="Q128">
        <v>30</v>
      </c>
      <c r="R128">
        <v>20</v>
      </c>
      <c r="S128">
        <v>1</v>
      </c>
      <c r="T128">
        <v>3</v>
      </c>
      <c r="U128">
        <v>4</v>
      </c>
      <c r="V128">
        <v>14</v>
      </c>
      <c r="W128">
        <v>1</v>
      </c>
    </row>
    <row r="129" spans="1:23" x14ac:dyDescent="0.25">
      <c r="A129" s="1" t="s">
        <v>23</v>
      </c>
      <c r="B129" s="1" t="s">
        <v>24</v>
      </c>
      <c r="C129" s="1" t="s">
        <v>34</v>
      </c>
      <c r="D129" s="1" t="s">
        <v>26</v>
      </c>
      <c r="E129" s="1" t="s">
        <v>55</v>
      </c>
      <c r="F129" s="1" t="s">
        <v>46</v>
      </c>
      <c r="G129" s="1" t="s">
        <v>187</v>
      </c>
      <c r="H129">
        <v>128</v>
      </c>
      <c r="I129" s="1" t="s">
        <v>36</v>
      </c>
      <c r="J129" s="1" t="s">
        <v>76</v>
      </c>
      <c r="K129" s="1" t="s">
        <v>50</v>
      </c>
      <c r="L129" s="1" t="s">
        <v>33</v>
      </c>
      <c r="M129">
        <v>42</v>
      </c>
      <c r="N129">
        <v>78298</v>
      </c>
      <c r="O129">
        <v>4</v>
      </c>
      <c r="P129">
        <v>2</v>
      </c>
      <c r="Q129">
        <v>31</v>
      </c>
      <c r="R129">
        <v>35</v>
      </c>
      <c r="S129">
        <v>5</v>
      </c>
      <c r="T129">
        <v>3</v>
      </c>
      <c r="U129">
        <v>4</v>
      </c>
      <c r="V129">
        <v>25</v>
      </c>
      <c r="W129">
        <v>4</v>
      </c>
    </row>
    <row r="130" spans="1:23" x14ac:dyDescent="0.25">
      <c r="A130" s="1" t="s">
        <v>33</v>
      </c>
      <c r="B130" s="1" t="s">
        <v>44</v>
      </c>
      <c r="C130" s="1" t="s">
        <v>39</v>
      </c>
      <c r="D130" s="1" t="s">
        <v>73</v>
      </c>
      <c r="E130" s="1" t="s">
        <v>40</v>
      </c>
      <c r="F130" s="1" t="s">
        <v>28</v>
      </c>
      <c r="G130" s="1" t="s">
        <v>188</v>
      </c>
      <c r="H130">
        <v>129</v>
      </c>
      <c r="I130" s="1" t="s">
        <v>36</v>
      </c>
      <c r="J130" s="1" t="s">
        <v>70</v>
      </c>
      <c r="K130" s="1" t="s">
        <v>50</v>
      </c>
      <c r="L130" s="1" t="s">
        <v>23</v>
      </c>
      <c r="M130">
        <v>32</v>
      </c>
      <c r="N130">
        <v>160117</v>
      </c>
      <c r="O130">
        <v>1</v>
      </c>
      <c r="P130">
        <v>1</v>
      </c>
      <c r="Q130">
        <v>4</v>
      </c>
      <c r="R130">
        <v>42</v>
      </c>
      <c r="S130">
        <v>0</v>
      </c>
      <c r="T130">
        <v>1</v>
      </c>
      <c r="U130">
        <v>4</v>
      </c>
      <c r="V130">
        <v>5</v>
      </c>
      <c r="W130">
        <v>2</v>
      </c>
    </row>
    <row r="131" spans="1:23" x14ac:dyDescent="0.25">
      <c r="A131" s="1" t="s">
        <v>23</v>
      </c>
      <c r="B131" s="1" t="s">
        <v>54</v>
      </c>
      <c r="C131" s="1" t="s">
        <v>34</v>
      </c>
      <c r="D131" s="1" t="s">
        <v>26</v>
      </c>
      <c r="E131" s="1" t="s">
        <v>55</v>
      </c>
      <c r="F131" s="1" t="s">
        <v>68</v>
      </c>
      <c r="G131" s="1" t="s">
        <v>189</v>
      </c>
      <c r="H131">
        <v>130</v>
      </c>
      <c r="I131" s="1" t="s">
        <v>36</v>
      </c>
      <c r="J131" s="1" t="s">
        <v>64</v>
      </c>
      <c r="K131" s="1" t="s">
        <v>32</v>
      </c>
      <c r="L131" s="1" t="s">
        <v>23</v>
      </c>
      <c r="M131">
        <v>52</v>
      </c>
      <c r="N131">
        <v>22123</v>
      </c>
      <c r="O131">
        <v>1</v>
      </c>
      <c r="P131">
        <v>4</v>
      </c>
      <c r="Q131">
        <v>0</v>
      </c>
      <c r="R131">
        <v>1</v>
      </c>
      <c r="S131">
        <v>4</v>
      </c>
      <c r="T131">
        <v>3</v>
      </c>
      <c r="U131">
        <v>4</v>
      </c>
      <c r="V131">
        <v>1</v>
      </c>
      <c r="W131">
        <v>5</v>
      </c>
    </row>
    <row r="132" spans="1:23" x14ac:dyDescent="0.25">
      <c r="A132" s="1" t="s">
        <v>23</v>
      </c>
      <c r="B132" s="1" t="s">
        <v>24</v>
      </c>
      <c r="C132" s="1" t="s">
        <v>39</v>
      </c>
      <c r="D132" s="1" t="s">
        <v>26</v>
      </c>
      <c r="E132" s="1" t="s">
        <v>55</v>
      </c>
      <c r="F132" s="1" t="s">
        <v>66</v>
      </c>
      <c r="G132" s="1" t="s">
        <v>190</v>
      </c>
      <c r="H132">
        <v>131</v>
      </c>
      <c r="I132" s="1" t="s">
        <v>30</v>
      </c>
      <c r="J132" s="1" t="s">
        <v>48</v>
      </c>
      <c r="K132" s="1" t="s">
        <v>50</v>
      </c>
      <c r="L132" s="1" t="s">
        <v>23</v>
      </c>
      <c r="M132">
        <v>43</v>
      </c>
      <c r="N132">
        <v>88077</v>
      </c>
      <c r="O132">
        <v>4</v>
      </c>
      <c r="P132">
        <v>1</v>
      </c>
      <c r="Q132">
        <v>23</v>
      </c>
      <c r="R132">
        <v>25</v>
      </c>
      <c r="S132">
        <v>3</v>
      </c>
      <c r="T132">
        <v>2</v>
      </c>
      <c r="U132">
        <v>3</v>
      </c>
      <c r="V132">
        <v>10</v>
      </c>
      <c r="W132">
        <v>1</v>
      </c>
    </row>
    <row r="133" spans="1:23" x14ac:dyDescent="0.25">
      <c r="A133" s="1" t="s">
        <v>23</v>
      </c>
      <c r="B133" s="1" t="s">
        <v>24</v>
      </c>
      <c r="C133" s="1" t="s">
        <v>65</v>
      </c>
      <c r="D133" s="1" t="s">
        <v>26</v>
      </c>
      <c r="E133" s="1" t="s">
        <v>60</v>
      </c>
      <c r="F133" s="1" t="s">
        <v>68</v>
      </c>
      <c r="G133" s="1" t="s">
        <v>191</v>
      </c>
      <c r="H133">
        <v>132</v>
      </c>
      <c r="I133" s="1" t="s">
        <v>36</v>
      </c>
      <c r="J133" s="1" t="s">
        <v>41</v>
      </c>
      <c r="K133" s="1" t="s">
        <v>32</v>
      </c>
      <c r="L133" s="1" t="s">
        <v>23</v>
      </c>
      <c r="M133">
        <v>24</v>
      </c>
      <c r="N133">
        <v>20477</v>
      </c>
      <c r="O133">
        <v>2</v>
      </c>
      <c r="P133">
        <v>1</v>
      </c>
      <c r="Q133">
        <v>31</v>
      </c>
      <c r="R133">
        <v>27</v>
      </c>
      <c r="S133">
        <v>5</v>
      </c>
      <c r="T133">
        <v>3</v>
      </c>
      <c r="U133">
        <v>3</v>
      </c>
      <c r="V133">
        <v>29</v>
      </c>
      <c r="W133">
        <v>5</v>
      </c>
    </row>
    <row r="134" spans="1:23" x14ac:dyDescent="0.25">
      <c r="A134" s="1" t="s">
        <v>33</v>
      </c>
      <c r="B134" s="1" t="s">
        <v>54</v>
      </c>
      <c r="C134" s="1" t="s">
        <v>34</v>
      </c>
      <c r="D134" s="1" t="s">
        <v>73</v>
      </c>
      <c r="E134" s="1" t="s">
        <v>46</v>
      </c>
      <c r="F134" s="1" t="s">
        <v>68</v>
      </c>
      <c r="G134" s="1" t="s">
        <v>192</v>
      </c>
      <c r="H134">
        <v>133</v>
      </c>
      <c r="I134" s="1" t="s">
        <v>36</v>
      </c>
      <c r="J134" s="1" t="s">
        <v>64</v>
      </c>
      <c r="K134" s="1" t="s">
        <v>50</v>
      </c>
      <c r="L134" s="1" t="s">
        <v>23</v>
      </c>
      <c r="M134">
        <v>55</v>
      </c>
      <c r="N134">
        <v>165720</v>
      </c>
      <c r="O134">
        <v>1</v>
      </c>
      <c r="P134">
        <v>2</v>
      </c>
      <c r="Q134">
        <v>20</v>
      </c>
      <c r="R134">
        <v>1</v>
      </c>
      <c r="S134">
        <v>1</v>
      </c>
      <c r="T134">
        <v>2</v>
      </c>
      <c r="U134">
        <v>4</v>
      </c>
      <c r="V134">
        <v>30</v>
      </c>
      <c r="W134">
        <v>1</v>
      </c>
    </row>
    <row r="135" spans="1:23" x14ac:dyDescent="0.25">
      <c r="A135" s="1" t="s">
        <v>23</v>
      </c>
      <c r="B135" s="1" t="s">
        <v>44</v>
      </c>
      <c r="C135" s="1" t="s">
        <v>39</v>
      </c>
      <c r="D135" s="1" t="s">
        <v>26</v>
      </c>
      <c r="E135" s="1" t="s">
        <v>51</v>
      </c>
      <c r="F135" s="1" t="s">
        <v>52</v>
      </c>
      <c r="G135" s="1" t="s">
        <v>193</v>
      </c>
      <c r="H135">
        <v>134</v>
      </c>
      <c r="I135" s="1" t="s">
        <v>36</v>
      </c>
      <c r="J135" s="1" t="s">
        <v>41</v>
      </c>
      <c r="K135" s="1" t="s">
        <v>32</v>
      </c>
      <c r="L135" s="1" t="s">
        <v>33</v>
      </c>
      <c r="M135">
        <v>26</v>
      </c>
      <c r="N135">
        <v>149279</v>
      </c>
      <c r="O135">
        <v>3</v>
      </c>
      <c r="P135">
        <v>1</v>
      </c>
      <c r="Q135">
        <v>6</v>
      </c>
      <c r="R135">
        <v>27</v>
      </c>
      <c r="S135">
        <v>1</v>
      </c>
      <c r="T135">
        <v>1</v>
      </c>
      <c r="U135">
        <v>4</v>
      </c>
      <c r="V135">
        <v>20</v>
      </c>
      <c r="W135">
        <v>5</v>
      </c>
    </row>
    <row r="136" spans="1:23" x14ac:dyDescent="0.25">
      <c r="A136" s="1" t="s">
        <v>33</v>
      </c>
      <c r="B136" s="1" t="s">
        <v>24</v>
      </c>
      <c r="C136" s="1" t="s">
        <v>34</v>
      </c>
      <c r="D136" s="1" t="s">
        <v>73</v>
      </c>
      <c r="E136" s="1" t="s">
        <v>27</v>
      </c>
      <c r="F136" s="1" t="s">
        <v>52</v>
      </c>
      <c r="G136" s="1" t="s">
        <v>194</v>
      </c>
      <c r="H136">
        <v>135</v>
      </c>
      <c r="I136" s="1" t="s">
        <v>36</v>
      </c>
      <c r="J136" s="1" t="s">
        <v>86</v>
      </c>
      <c r="K136" s="1" t="s">
        <v>38</v>
      </c>
      <c r="L136" s="1" t="s">
        <v>33</v>
      </c>
      <c r="M136">
        <v>43</v>
      </c>
      <c r="N136">
        <v>162975</v>
      </c>
      <c r="O136">
        <v>4</v>
      </c>
      <c r="P136">
        <v>4</v>
      </c>
      <c r="Q136">
        <v>11</v>
      </c>
      <c r="R136">
        <v>37</v>
      </c>
      <c r="S136">
        <v>5</v>
      </c>
      <c r="T136">
        <v>4</v>
      </c>
      <c r="U136">
        <v>3</v>
      </c>
      <c r="V136">
        <v>25</v>
      </c>
      <c r="W136">
        <v>5</v>
      </c>
    </row>
    <row r="137" spans="1:23" x14ac:dyDescent="0.25">
      <c r="A137" s="1" t="s">
        <v>23</v>
      </c>
      <c r="B137" s="1" t="s">
        <v>24</v>
      </c>
      <c r="C137" s="1" t="s">
        <v>34</v>
      </c>
      <c r="D137" s="1" t="s">
        <v>26</v>
      </c>
      <c r="E137" s="1" t="s">
        <v>60</v>
      </c>
      <c r="F137" s="1" t="s">
        <v>46</v>
      </c>
      <c r="G137" s="1" t="s">
        <v>195</v>
      </c>
      <c r="H137">
        <v>136</v>
      </c>
      <c r="I137" s="1" t="s">
        <v>30</v>
      </c>
      <c r="J137" s="1" t="s">
        <v>41</v>
      </c>
      <c r="K137" s="1" t="s">
        <v>32</v>
      </c>
      <c r="L137" s="1" t="s">
        <v>33</v>
      </c>
      <c r="M137">
        <v>45</v>
      </c>
      <c r="N137">
        <v>101015</v>
      </c>
      <c r="O137">
        <v>3</v>
      </c>
      <c r="P137">
        <v>1</v>
      </c>
      <c r="Q137">
        <v>5</v>
      </c>
      <c r="R137">
        <v>0</v>
      </c>
      <c r="S137">
        <v>2</v>
      </c>
      <c r="T137">
        <v>4</v>
      </c>
      <c r="U137">
        <v>4</v>
      </c>
      <c r="V137">
        <v>25</v>
      </c>
      <c r="W137">
        <v>3</v>
      </c>
    </row>
    <row r="138" spans="1:23" x14ac:dyDescent="0.25">
      <c r="A138" s="1" t="s">
        <v>23</v>
      </c>
      <c r="B138" s="1" t="s">
        <v>44</v>
      </c>
      <c r="C138" s="1" t="s">
        <v>25</v>
      </c>
      <c r="D138" s="1" t="s">
        <v>26</v>
      </c>
      <c r="E138" s="1" t="s">
        <v>40</v>
      </c>
      <c r="F138" s="1" t="s">
        <v>41</v>
      </c>
      <c r="G138" s="1" t="s">
        <v>196</v>
      </c>
      <c r="H138">
        <v>137</v>
      </c>
      <c r="I138" s="1" t="s">
        <v>36</v>
      </c>
      <c r="J138" s="1" t="s">
        <v>31</v>
      </c>
      <c r="K138" s="1" t="s">
        <v>50</v>
      </c>
      <c r="L138" s="1" t="s">
        <v>33</v>
      </c>
      <c r="M138">
        <v>43</v>
      </c>
      <c r="N138">
        <v>163285</v>
      </c>
      <c r="O138">
        <v>1</v>
      </c>
      <c r="P138">
        <v>3</v>
      </c>
      <c r="Q138">
        <v>24</v>
      </c>
      <c r="R138">
        <v>0</v>
      </c>
      <c r="S138">
        <v>2</v>
      </c>
      <c r="T138">
        <v>4</v>
      </c>
      <c r="U138">
        <v>4</v>
      </c>
      <c r="V138">
        <v>25</v>
      </c>
      <c r="W138">
        <v>1</v>
      </c>
    </row>
    <row r="139" spans="1:23" x14ac:dyDescent="0.25">
      <c r="A139" s="1" t="s">
        <v>23</v>
      </c>
      <c r="B139" s="1" t="s">
        <v>54</v>
      </c>
      <c r="C139" s="1" t="s">
        <v>39</v>
      </c>
      <c r="D139" s="1" t="s">
        <v>26</v>
      </c>
      <c r="E139" s="1" t="s">
        <v>55</v>
      </c>
      <c r="F139" s="1" t="s">
        <v>41</v>
      </c>
      <c r="G139" s="1" t="s">
        <v>197</v>
      </c>
      <c r="H139">
        <v>138</v>
      </c>
      <c r="I139" s="1" t="s">
        <v>30</v>
      </c>
      <c r="J139" s="1" t="s">
        <v>41</v>
      </c>
      <c r="K139" s="1" t="s">
        <v>50</v>
      </c>
      <c r="L139" s="1" t="s">
        <v>33</v>
      </c>
      <c r="M139">
        <v>38</v>
      </c>
      <c r="N139">
        <v>96939</v>
      </c>
      <c r="O139">
        <v>3</v>
      </c>
      <c r="P139">
        <v>4</v>
      </c>
      <c r="Q139">
        <v>9</v>
      </c>
      <c r="R139">
        <v>4</v>
      </c>
      <c r="S139">
        <v>1</v>
      </c>
      <c r="T139">
        <v>4</v>
      </c>
      <c r="U139">
        <v>4</v>
      </c>
      <c r="V139">
        <v>14</v>
      </c>
      <c r="W139">
        <v>3</v>
      </c>
    </row>
    <row r="140" spans="1:23" x14ac:dyDescent="0.25">
      <c r="A140" s="1" t="s">
        <v>23</v>
      </c>
      <c r="B140" s="1" t="s">
        <v>24</v>
      </c>
      <c r="C140" s="1" t="s">
        <v>25</v>
      </c>
      <c r="D140" s="1" t="s">
        <v>26</v>
      </c>
      <c r="E140" s="1" t="s">
        <v>27</v>
      </c>
      <c r="F140" s="1" t="s">
        <v>52</v>
      </c>
      <c r="G140" s="1" t="s">
        <v>198</v>
      </c>
      <c r="H140">
        <v>139</v>
      </c>
      <c r="I140" s="1" t="s">
        <v>36</v>
      </c>
      <c r="J140" s="1" t="s">
        <v>43</v>
      </c>
      <c r="K140" s="1" t="s">
        <v>32</v>
      </c>
      <c r="L140" s="1" t="s">
        <v>33</v>
      </c>
      <c r="M140">
        <v>50</v>
      </c>
      <c r="N140">
        <v>46042</v>
      </c>
      <c r="O140">
        <v>2</v>
      </c>
      <c r="P140">
        <v>3</v>
      </c>
      <c r="Q140">
        <v>0</v>
      </c>
      <c r="R140">
        <v>25</v>
      </c>
      <c r="S140">
        <v>2</v>
      </c>
      <c r="T140">
        <v>4</v>
      </c>
      <c r="U140">
        <v>4</v>
      </c>
      <c r="V140">
        <v>15</v>
      </c>
      <c r="W140">
        <v>3</v>
      </c>
    </row>
    <row r="141" spans="1:23" x14ac:dyDescent="0.25">
      <c r="A141" s="1" t="s">
        <v>23</v>
      </c>
      <c r="B141" s="1" t="s">
        <v>54</v>
      </c>
      <c r="C141" s="1" t="s">
        <v>65</v>
      </c>
      <c r="D141" s="1" t="s">
        <v>26</v>
      </c>
      <c r="E141" s="1" t="s">
        <v>46</v>
      </c>
      <c r="F141" s="1" t="s">
        <v>28</v>
      </c>
      <c r="G141" s="1" t="s">
        <v>199</v>
      </c>
      <c r="H141">
        <v>140</v>
      </c>
      <c r="I141" s="1" t="s">
        <v>36</v>
      </c>
      <c r="J141" s="1" t="s">
        <v>37</v>
      </c>
      <c r="K141" s="1" t="s">
        <v>32</v>
      </c>
      <c r="L141" s="1" t="s">
        <v>33</v>
      </c>
      <c r="M141">
        <v>51</v>
      </c>
      <c r="N141">
        <v>100361</v>
      </c>
      <c r="O141">
        <v>2</v>
      </c>
      <c r="P141">
        <v>4</v>
      </c>
      <c r="Q141">
        <v>20</v>
      </c>
      <c r="R141">
        <v>18</v>
      </c>
      <c r="S141">
        <v>5</v>
      </c>
      <c r="T141">
        <v>4</v>
      </c>
      <c r="U141">
        <v>3</v>
      </c>
      <c r="V141">
        <v>11</v>
      </c>
      <c r="W141">
        <v>4</v>
      </c>
    </row>
    <row r="142" spans="1:23" x14ac:dyDescent="0.25">
      <c r="A142" s="1" t="s">
        <v>23</v>
      </c>
      <c r="B142" s="1" t="s">
        <v>24</v>
      </c>
      <c r="C142" s="1" t="s">
        <v>65</v>
      </c>
      <c r="D142" s="1" t="s">
        <v>26</v>
      </c>
      <c r="E142" s="1" t="s">
        <v>27</v>
      </c>
      <c r="F142" s="1" t="s">
        <v>41</v>
      </c>
      <c r="G142" s="1" t="s">
        <v>200</v>
      </c>
      <c r="H142">
        <v>141</v>
      </c>
      <c r="I142" s="1" t="s">
        <v>30</v>
      </c>
      <c r="J142" s="1" t="s">
        <v>43</v>
      </c>
      <c r="K142" s="1" t="s">
        <v>32</v>
      </c>
      <c r="L142" s="1" t="s">
        <v>33</v>
      </c>
      <c r="M142">
        <v>56</v>
      </c>
      <c r="N142">
        <v>25055</v>
      </c>
      <c r="O142">
        <v>4</v>
      </c>
      <c r="P142">
        <v>2</v>
      </c>
      <c r="Q142">
        <v>28</v>
      </c>
      <c r="R142">
        <v>18</v>
      </c>
      <c r="S142">
        <v>6</v>
      </c>
      <c r="T142">
        <v>1</v>
      </c>
      <c r="U142">
        <v>4</v>
      </c>
      <c r="V142">
        <v>22</v>
      </c>
      <c r="W142">
        <v>4</v>
      </c>
    </row>
    <row r="143" spans="1:23" x14ac:dyDescent="0.25">
      <c r="A143" s="1" t="s">
        <v>23</v>
      </c>
      <c r="B143" s="1" t="s">
        <v>54</v>
      </c>
      <c r="C143" s="1" t="s">
        <v>34</v>
      </c>
      <c r="D143" s="1" t="s">
        <v>26</v>
      </c>
      <c r="E143" s="1" t="s">
        <v>27</v>
      </c>
      <c r="F143" s="1" t="s">
        <v>28</v>
      </c>
      <c r="G143" s="1" t="s">
        <v>201</v>
      </c>
      <c r="H143">
        <v>142</v>
      </c>
      <c r="I143" s="1" t="s">
        <v>36</v>
      </c>
      <c r="J143" s="1" t="s">
        <v>41</v>
      </c>
      <c r="K143" s="1" t="s">
        <v>50</v>
      </c>
      <c r="L143" s="1" t="s">
        <v>23</v>
      </c>
      <c r="M143">
        <v>59</v>
      </c>
      <c r="N143">
        <v>143628</v>
      </c>
      <c r="O143">
        <v>4</v>
      </c>
      <c r="P143">
        <v>4</v>
      </c>
      <c r="Q143">
        <v>34</v>
      </c>
      <c r="R143">
        <v>2</v>
      </c>
      <c r="S143">
        <v>6</v>
      </c>
      <c r="T143">
        <v>3</v>
      </c>
      <c r="U143">
        <v>3</v>
      </c>
      <c r="V143">
        <v>4</v>
      </c>
      <c r="W143">
        <v>2</v>
      </c>
    </row>
    <row r="144" spans="1:23" x14ac:dyDescent="0.25">
      <c r="A144" s="1" t="s">
        <v>23</v>
      </c>
      <c r="B144" s="1" t="s">
        <v>54</v>
      </c>
      <c r="C144" s="1" t="s">
        <v>34</v>
      </c>
      <c r="D144" s="1" t="s">
        <v>26</v>
      </c>
      <c r="E144" s="1" t="s">
        <v>46</v>
      </c>
      <c r="F144" s="1" t="s">
        <v>66</v>
      </c>
      <c r="G144" s="1" t="s">
        <v>202</v>
      </c>
      <c r="H144">
        <v>143</v>
      </c>
      <c r="I144" s="1" t="s">
        <v>36</v>
      </c>
      <c r="J144" s="1" t="s">
        <v>37</v>
      </c>
      <c r="K144" s="1" t="s">
        <v>38</v>
      </c>
      <c r="L144" s="1" t="s">
        <v>33</v>
      </c>
      <c r="M144">
        <v>21</v>
      </c>
      <c r="N144">
        <v>43849</v>
      </c>
      <c r="O144">
        <v>3</v>
      </c>
      <c r="P144">
        <v>2</v>
      </c>
      <c r="Q144">
        <v>32</v>
      </c>
      <c r="R144">
        <v>33</v>
      </c>
      <c r="S144">
        <v>4</v>
      </c>
      <c r="T144">
        <v>2</v>
      </c>
      <c r="U144">
        <v>4</v>
      </c>
      <c r="V144">
        <v>12</v>
      </c>
      <c r="W144">
        <v>4</v>
      </c>
    </row>
    <row r="145" spans="1:23" x14ac:dyDescent="0.25">
      <c r="A145" s="1" t="s">
        <v>23</v>
      </c>
      <c r="B145" s="1" t="s">
        <v>54</v>
      </c>
      <c r="C145" s="1" t="s">
        <v>39</v>
      </c>
      <c r="D145" s="1" t="s">
        <v>26</v>
      </c>
      <c r="E145" s="1" t="s">
        <v>46</v>
      </c>
      <c r="F145" s="1" t="s">
        <v>28</v>
      </c>
      <c r="G145" s="1" t="s">
        <v>203</v>
      </c>
      <c r="H145">
        <v>144</v>
      </c>
      <c r="I145" s="1" t="s">
        <v>36</v>
      </c>
      <c r="J145" s="1" t="s">
        <v>64</v>
      </c>
      <c r="K145" s="1" t="s">
        <v>38</v>
      </c>
      <c r="L145" s="1" t="s">
        <v>33</v>
      </c>
      <c r="M145">
        <v>39</v>
      </c>
      <c r="N145">
        <v>127045</v>
      </c>
      <c r="O145">
        <v>1</v>
      </c>
      <c r="P145">
        <v>1</v>
      </c>
      <c r="Q145">
        <v>9</v>
      </c>
      <c r="R145">
        <v>22</v>
      </c>
      <c r="S145">
        <v>2</v>
      </c>
      <c r="T145">
        <v>3</v>
      </c>
      <c r="U145">
        <v>4</v>
      </c>
      <c r="V145">
        <v>26</v>
      </c>
      <c r="W145">
        <v>2</v>
      </c>
    </row>
    <row r="146" spans="1:23" x14ac:dyDescent="0.25">
      <c r="A146" s="1" t="s">
        <v>23</v>
      </c>
      <c r="B146" s="1" t="s">
        <v>44</v>
      </c>
      <c r="C146" s="1" t="s">
        <v>34</v>
      </c>
      <c r="D146" s="1" t="s">
        <v>26</v>
      </c>
      <c r="E146" s="1" t="s">
        <v>60</v>
      </c>
      <c r="F146" s="1" t="s">
        <v>52</v>
      </c>
      <c r="G146" s="1" t="s">
        <v>204</v>
      </c>
      <c r="H146">
        <v>145</v>
      </c>
      <c r="I146" s="1" t="s">
        <v>36</v>
      </c>
      <c r="J146" s="1" t="s">
        <v>37</v>
      </c>
      <c r="K146" s="1" t="s">
        <v>50</v>
      </c>
      <c r="L146" s="1" t="s">
        <v>23</v>
      </c>
      <c r="M146">
        <v>23</v>
      </c>
      <c r="N146">
        <v>48168</v>
      </c>
      <c r="O146">
        <v>1</v>
      </c>
      <c r="P146">
        <v>3</v>
      </c>
      <c r="Q146">
        <v>6</v>
      </c>
      <c r="R146">
        <v>10</v>
      </c>
      <c r="S146">
        <v>5</v>
      </c>
      <c r="T146">
        <v>2</v>
      </c>
      <c r="U146">
        <v>3</v>
      </c>
      <c r="V146">
        <v>18</v>
      </c>
      <c r="W146">
        <v>2</v>
      </c>
    </row>
    <row r="147" spans="1:23" x14ac:dyDescent="0.25">
      <c r="A147" s="1" t="s">
        <v>23</v>
      </c>
      <c r="B147" s="1" t="s">
        <v>24</v>
      </c>
      <c r="C147" s="1" t="s">
        <v>34</v>
      </c>
      <c r="D147" s="1" t="s">
        <v>26</v>
      </c>
      <c r="E147" s="1" t="s">
        <v>40</v>
      </c>
      <c r="F147" s="1" t="s">
        <v>68</v>
      </c>
      <c r="G147" s="1" t="s">
        <v>205</v>
      </c>
      <c r="H147">
        <v>146</v>
      </c>
      <c r="I147" s="1" t="s">
        <v>30</v>
      </c>
      <c r="J147" s="1" t="s">
        <v>70</v>
      </c>
      <c r="K147" s="1" t="s">
        <v>32</v>
      </c>
      <c r="L147" s="1" t="s">
        <v>23</v>
      </c>
      <c r="M147">
        <v>46</v>
      </c>
      <c r="N147">
        <v>25652</v>
      </c>
      <c r="O147">
        <v>2</v>
      </c>
      <c r="P147">
        <v>4</v>
      </c>
      <c r="Q147">
        <v>37</v>
      </c>
      <c r="R147">
        <v>27</v>
      </c>
      <c r="S147">
        <v>3</v>
      </c>
      <c r="T147">
        <v>1</v>
      </c>
      <c r="U147">
        <v>3</v>
      </c>
      <c r="V147">
        <v>7</v>
      </c>
      <c r="W147">
        <v>3</v>
      </c>
    </row>
    <row r="148" spans="1:23" x14ac:dyDescent="0.25">
      <c r="A148" s="1" t="s">
        <v>23</v>
      </c>
      <c r="B148" s="1" t="s">
        <v>54</v>
      </c>
      <c r="C148" s="1" t="s">
        <v>65</v>
      </c>
      <c r="D148" s="1" t="s">
        <v>26</v>
      </c>
      <c r="E148" s="1" t="s">
        <v>60</v>
      </c>
      <c r="F148" s="1" t="s">
        <v>66</v>
      </c>
      <c r="G148" s="1" t="s">
        <v>206</v>
      </c>
      <c r="H148">
        <v>147</v>
      </c>
      <c r="I148" s="1" t="s">
        <v>30</v>
      </c>
      <c r="J148" s="1" t="s">
        <v>37</v>
      </c>
      <c r="K148" s="1" t="s">
        <v>38</v>
      </c>
      <c r="L148" s="1" t="s">
        <v>33</v>
      </c>
      <c r="M148">
        <v>50</v>
      </c>
      <c r="N148">
        <v>47872</v>
      </c>
      <c r="O148">
        <v>3</v>
      </c>
      <c r="P148">
        <v>4</v>
      </c>
      <c r="Q148">
        <v>33</v>
      </c>
      <c r="R148">
        <v>40</v>
      </c>
      <c r="S148">
        <v>2</v>
      </c>
      <c r="T148">
        <v>4</v>
      </c>
      <c r="U148">
        <v>4</v>
      </c>
      <c r="V148">
        <v>19</v>
      </c>
      <c r="W148">
        <v>1</v>
      </c>
    </row>
    <row r="149" spans="1:23" x14ac:dyDescent="0.25">
      <c r="A149" s="1" t="s">
        <v>23</v>
      </c>
      <c r="B149" s="1" t="s">
        <v>24</v>
      </c>
      <c r="C149" s="1" t="s">
        <v>65</v>
      </c>
      <c r="D149" s="1" t="s">
        <v>26</v>
      </c>
      <c r="E149" s="1" t="s">
        <v>51</v>
      </c>
      <c r="F149" s="1" t="s">
        <v>52</v>
      </c>
      <c r="G149" s="1" t="s">
        <v>207</v>
      </c>
      <c r="H149">
        <v>148</v>
      </c>
      <c r="I149" s="1" t="s">
        <v>36</v>
      </c>
      <c r="J149" s="1" t="s">
        <v>43</v>
      </c>
      <c r="K149" s="1" t="s">
        <v>32</v>
      </c>
      <c r="L149" s="1" t="s">
        <v>33</v>
      </c>
      <c r="M149">
        <v>29</v>
      </c>
      <c r="N149">
        <v>100099</v>
      </c>
      <c r="O149">
        <v>1</v>
      </c>
      <c r="P149">
        <v>2</v>
      </c>
      <c r="Q149">
        <v>19</v>
      </c>
      <c r="R149">
        <v>7</v>
      </c>
      <c r="S149">
        <v>1</v>
      </c>
      <c r="T149">
        <v>3</v>
      </c>
      <c r="U149">
        <v>3</v>
      </c>
      <c r="V149">
        <v>17</v>
      </c>
      <c r="W149">
        <v>4</v>
      </c>
    </row>
    <row r="150" spans="1:23" x14ac:dyDescent="0.25">
      <c r="A150" s="1" t="s">
        <v>23</v>
      </c>
      <c r="B150" s="1" t="s">
        <v>44</v>
      </c>
      <c r="C150" s="1" t="s">
        <v>34</v>
      </c>
      <c r="D150" s="1" t="s">
        <v>26</v>
      </c>
      <c r="E150" s="1" t="s">
        <v>40</v>
      </c>
      <c r="F150" s="1" t="s">
        <v>28</v>
      </c>
      <c r="G150" s="1" t="s">
        <v>208</v>
      </c>
      <c r="H150">
        <v>149</v>
      </c>
      <c r="I150" s="1" t="s">
        <v>36</v>
      </c>
      <c r="J150" s="1" t="s">
        <v>59</v>
      </c>
      <c r="K150" s="1" t="s">
        <v>32</v>
      </c>
      <c r="L150" s="1" t="s">
        <v>33</v>
      </c>
      <c r="M150">
        <v>56</v>
      </c>
      <c r="N150">
        <v>61742</v>
      </c>
      <c r="O150">
        <v>4</v>
      </c>
      <c r="P150">
        <v>3</v>
      </c>
      <c r="Q150">
        <v>8</v>
      </c>
      <c r="R150">
        <v>11</v>
      </c>
      <c r="S150">
        <v>2</v>
      </c>
      <c r="T150">
        <v>4</v>
      </c>
      <c r="U150">
        <v>3</v>
      </c>
      <c r="V150">
        <v>28</v>
      </c>
      <c r="W150">
        <v>3</v>
      </c>
    </row>
    <row r="151" spans="1:23" x14ac:dyDescent="0.25">
      <c r="A151" s="1" t="s">
        <v>33</v>
      </c>
      <c r="B151" s="1" t="s">
        <v>44</v>
      </c>
      <c r="C151" s="1" t="s">
        <v>39</v>
      </c>
      <c r="D151" s="1" t="s">
        <v>73</v>
      </c>
      <c r="E151" s="1" t="s">
        <v>55</v>
      </c>
      <c r="F151" s="1" t="s">
        <v>41</v>
      </c>
      <c r="G151" s="1" t="s">
        <v>209</v>
      </c>
      <c r="H151">
        <v>150</v>
      </c>
      <c r="I151" s="1" t="s">
        <v>36</v>
      </c>
      <c r="J151" s="1" t="s">
        <v>41</v>
      </c>
      <c r="K151" s="1" t="s">
        <v>32</v>
      </c>
      <c r="L151" s="1" t="s">
        <v>23</v>
      </c>
      <c r="M151">
        <v>47</v>
      </c>
      <c r="N151">
        <v>134353</v>
      </c>
      <c r="O151">
        <v>4</v>
      </c>
      <c r="P151">
        <v>2</v>
      </c>
      <c r="Q151">
        <v>5</v>
      </c>
      <c r="R151">
        <v>36</v>
      </c>
      <c r="S151">
        <v>0</v>
      </c>
      <c r="T151">
        <v>2</v>
      </c>
      <c r="U151">
        <v>4</v>
      </c>
      <c r="V151">
        <v>2</v>
      </c>
      <c r="W151">
        <v>3</v>
      </c>
    </row>
    <row r="152" spans="1:23" x14ac:dyDescent="0.25">
      <c r="A152" s="1" t="s">
        <v>23</v>
      </c>
      <c r="B152" s="1" t="s">
        <v>54</v>
      </c>
      <c r="C152" s="1" t="s">
        <v>34</v>
      </c>
      <c r="D152" s="1" t="s">
        <v>26</v>
      </c>
      <c r="E152" s="1" t="s">
        <v>40</v>
      </c>
      <c r="F152" s="1" t="s">
        <v>52</v>
      </c>
      <c r="G152" s="1" t="s">
        <v>210</v>
      </c>
      <c r="H152">
        <v>151</v>
      </c>
      <c r="I152" s="1" t="s">
        <v>36</v>
      </c>
      <c r="J152" s="1" t="s">
        <v>59</v>
      </c>
      <c r="K152" s="1" t="s">
        <v>32</v>
      </c>
      <c r="L152" s="1" t="s">
        <v>33</v>
      </c>
      <c r="M152">
        <v>57</v>
      </c>
      <c r="N152">
        <v>47938</v>
      </c>
      <c r="O152">
        <v>3</v>
      </c>
      <c r="P152">
        <v>3</v>
      </c>
      <c r="Q152">
        <v>34</v>
      </c>
      <c r="R152">
        <v>2</v>
      </c>
      <c r="S152">
        <v>6</v>
      </c>
      <c r="T152">
        <v>4</v>
      </c>
      <c r="U152">
        <v>3</v>
      </c>
      <c r="V152">
        <v>14</v>
      </c>
      <c r="W152">
        <v>1</v>
      </c>
    </row>
    <row r="153" spans="1:23" x14ac:dyDescent="0.25">
      <c r="A153" s="1" t="s">
        <v>23</v>
      </c>
      <c r="B153" s="1" t="s">
        <v>44</v>
      </c>
      <c r="C153" s="1" t="s">
        <v>39</v>
      </c>
      <c r="D153" s="1" t="s">
        <v>26</v>
      </c>
      <c r="E153" s="1" t="s">
        <v>55</v>
      </c>
      <c r="F153" s="1" t="s">
        <v>66</v>
      </c>
      <c r="G153" s="1" t="s">
        <v>211</v>
      </c>
      <c r="H153">
        <v>152</v>
      </c>
      <c r="I153" s="1" t="s">
        <v>36</v>
      </c>
      <c r="J153" s="1" t="s">
        <v>76</v>
      </c>
      <c r="K153" s="1" t="s">
        <v>38</v>
      </c>
      <c r="L153" s="1" t="s">
        <v>33</v>
      </c>
      <c r="M153">
        <v>49</v>
      </c>
      <c r="N153">
        <v>48772</v>
      </c>
      <c r="O153">
        <v>2</v>
      </c>
      <c r="P153">
        <v>2</v>
      </c>
      <c r="Q153">
        <v>37</v>
      </c>
      <c r="R153">
        <v>22</v>
      </c>
      <c r="S153">
        <v>6</v>
      </c>
      <c r="T153">
        <v>4</v>
      </c>
      <c r="U153">
        <v>3</v>
      </c>
      <c r="V153">
        <v>20</v>
      </c>
      <c r="W153">
        <v>2</v>
      </c>
    </row>
    <row r="154" spans="1:23" x14ac:dyDescent="0.25">
      <c r="A154" s="1" t="s">
        <v>23</v>
      </c>
      <c r="B154" s="1" t="s">
        <v>54</v>
      </c>
      <c r="C154" s="1" t="s">
        <v>65</v>
      </c>
      <c r="D154" s="1" t="s">
        <v>26</v>
      </c>
      <c r="E154" s="1" t="s">
        <v>60</v>
      </c>
      <c r="F154" s="1" t="s">
        <v>46</v>
      </c>
      <c r="G154" s="1" t="s">
        <v>212</v>
      </c>
      <c r="H154">
        <v>153</v>
      </c>
      <c r="I154" s="1" t="s">
        <v>36</v>
      </c>
      <c r="J154" s="1" t="s">
        <v>43</v>
      </c>
      <c r="K154" s="1" t="s">
        <v>32</v>
      </c>
      <c r="L154" s="1" t="s">
        <v>33</v>
      </c>
      <c r="M154">
        <v>41</v>
      </c>
      <c r="N154">
        <v>94712</v>
      </c>
      <c r="O154">
        <v>3</v>
      </c>
      <c r="P154">
        <v>3</v>
      </c>
      <c r="Q154">
        <v>32</v>
      </c>
      <c r="R154">
        <v>6</v>
      </c>
      <c r="S154">
        <v>1</v>
      </c>
      <c r="T154">
        <v>4</v>
      </c>
      <c r="U154">
        <v>3</v>
      </c>
      <c r="V154">
        <v>9</v>
      </c>
      <c r="W154">
        <v>2</v>
      </c>
    </row>
    <row r="155" spans="1:23" x14ac:dyDescent="0.25">
      <c r="A155" s="1" t="s">
        <v>23</v>
      </c>
      <c r="B155" s="1" t="s">
        <v>54</v>
      </c>
      <c r="C155" s="1" t="s">
        <v>34</v>
      </c>
      <c r="D155" s="1" t="s">
        <v>26</v>
      </c>
      <c r="E155" s="1" t="s">
        <v>55</v>
      </c>
      <c r="F155" s="1" t="s">
        <v>46</v>
      </c>
      <c r="G155" s="1" t="s">
        <v>213</v>
      </c>
      <c r="H155">
        <v>154</v>
      </c>
      <c r="I155" s="1" t="s">
        <v>30</v>
      </c>
      <c r="J155" s="1" t="s">
        <v>41</v>
      </c>
      <c r="K155" s="1" t="s">
        <v>38</v>
      </c>
      <c r="L155" s="1" t="s">
        <v>33</v>
      </c>
      <c r="M155">
        <v>57</v>
      </c>
      <c r="N155">
        <v>88442</v>
      </c>
      <c r="O155">
        <v>4</v>
      </c>
      <c r="P155">
        <v>4</v>
      </c>
      <c r="Q155">
        <v>28</v>
      </c>
      <c r="R155">
        <v>4</v>
      </c>
      <c r="S155">
        <v>5</v>
      </c>
      <c r="T155">
        <v>1</v>
      </c>
      <c r="U155">
        <v>4</v>
      </c>
      <c r="V155">
        <v>17</v>
      </c>
      <c r="W155">
        <v>3</v>
      </c>
    </row>
    <row r="156" spans="1:23" x14ac:dyDescent="0.25">
      <c r="A156" s="1" t="s">
        <v>23</v>
      </c>
      <c r="B156" s="1" t="s">
        <v>44</v>
      </c>
      <c r="C156" s="1" t="s">
        <v>65</v>
      </c>
      <c r="D156" s="1" t="s">
        <v>26</v>
      </c>
      <c r="E156" s="1" t="s">
        <v>40</v>
      </c>
      <c r="F156" s="1" t="s">
        <v>46</v>
      </c>
      <c r="G156" s="1" t="s">
        <v>214</v>
      </c>
      <c r="H156">
        <v>155</v>
      </c>
      <c r="I156" s="1" t="s">
        <v>30</v>
      </c>
      <c r="J156" s="1" t="s">
        <v>31</v>
      </c>
      <c r="K156" s="1" t="s">
        <v>32</v>
      </c>
      <c r="L156" s="1" t="s">
        <v>23</v>
      </c>
      <c r="M156">
        <v>43</v>
      </c>
      <c r="N156">
        <v>34601</v>
      </c>
      <c r="O156">
        <v>4</v>
      </c>
      <c r="P156">
        <v>2</v>
      </c>
      <c r="Q156">
        <v>27</v>
      </c>
      <c r="R156">
        <v>13</v>
      </c>
      <c r="S156">
        <v>3</v>
      </c>
      <c r="T156">
        <v>3</v>
      </c>
      <c r="U156">
        <v>4</v>
      </c>
      <c r="V156">
        <v>27</v>
      </c>
      <c r="W156">
        <v>3</v>
      </c>
    </row>
    <row r="157" spans="1:23" x14ac:dyDescent="0.25">
      <c r="A157" s="1" t="s">
        <v>23</v>
      </c>
      <c r="B157" s="1" t="s">
        <v>44</v>
      </c>
      <c r="C157" s="1" t="s">
        <v>39</v>
      </c>
      <c r="D157" s="1" t="s">
        <v>26</v>
      </c>
      <c r="E157" s="1" t="s">
        <v>51</v>
      </c>
      <c r="F157" s="1" t="s">
        <v>46</v>
      </c>
      <c r="G157" s="1" t="s">
        <v>215</v>
      </c>
      <c r="H157">
        <v>156</v>
      </c>
      <c r="I157" s="1" t="s">
        <v>30</v>
      </c>
      <c r="J157" s="1" t="s">
        <v>64</v>
      </c>
      <c r="K157" s="1" t="s">
        <v>50</v>
      </c>
      <c r="L157" s="1" t="s">
        <v>23</v>
      </c>
      <c r="M157">
        <v>22</v>
      </c>
      <c r="N157">
        <v>50568</v>
      </c>
      <c r="O157">
        <v>2</v>
      </c>
      <c r="P157">
        <v>4</v>
      </c>
      <c r="Q157">
        <v>29</v>
      </c>
      <c r="R157">
        <v>0</v>
      </c>
      <c r="S157">
        <v>3</v>
      </c>
      <c r="T157">
        <v>2</v>
      </c>
      <c r="U157">
        <v>3</v>
      </c>
      <c r="V157">
        <v>29</v>
      </c>
      <c r="W157">
        <v>3</v>
      </c>
    </row>
    <row r="158" spans="1:23" x14ac:dyDescent="0.25">
      <c r="A158" s="1" t="s">
        <v>23</v>
      </c>
      <c r="B158" s="1" t="s">
        <v>24</v>
      </c>
      <c r="C158" s="1" t="s">
        <v>65</v>
      </c>
      <c r="D158" s="1" t="s">
        <v>26</v>
      </c>
      <c r="E158" s="1" t="s">
        <v>27</v>
      </c>
      <c r="F158" s="1" t="s">
        <v>52</v>
      </c>
      <c r="G158" s="1" t="s">
        <v>216</v>
      </c>
      <c r="H158">
        <v>157</v>
      </c>
      <c r="I158" s="1" t="s">
        <v>36</v>
      </c>
      <c r="J158" s="1" t="s">
        <v>76</v>
      </c>
      <c r="K158" s="1" t="s">
        <v>50</v>
      </c>
      <c r="L158" s="1" t="s">
        <v>23</v>
      </c>
      <c r="M158">
        <v>31</v>
      </c>
      <c r="N158">
        <v>31575</v>
      </c>
      <c r="O158">
        <v>4</v>
      </c>
      <c r="P158">
        <v>3</v>
      </c>
      <c r="Q158">
        <v>14</v>
      </c>
      <c r="R158">
        <v>27</v>
      </c>
      <c r="S158">
        <v>5</v>
      </c>
      <c r="T158">
        <v>1</v>
      </c>
      <c r="U158">
        <v>3</v>
      </c>
      <c r="V158">
        <v>1</v>
      </c>
      <c r="W158">
        <v>2</v>
      </c>
    </row>
    <row r="159" spans="1:23" x14ac:dyDescent="0.25">
      <c r="A159" s="1" t="s">
        <v>23</v>
      </c>
      <c r="B159" s="1" t="s">
        <v>54</v>
      </c>
      <c r="C159" s="1" t="s">
        <v>34</v>
      </c>
      <c r="D159" s="1" t="s">
        <v>26</v>
      </c>
      <c r="E159" s="1" t="s">
        <v>55</v>
      </c>
      <c r="F159" s="1" t="s">
        <v>52</v>
      </c>
      <c r="G159" s="1" t="s">
        <v>217</v>
      </c>
      <c r="H159">
        <v>158</v>
      </c>
      <c r="I159" s="1" t="s">
        <v>36</v>
      </c>
      <c r="J159" s="1" t="s">
        <v>64</v>
      </c>
      <c r="K159" s="1" t="s">
        <v>50</v>
      </c>
      <c r="L159" s="1" t="s">
        <v>23</v>
      </c>
      <c r="M159">
        <v>28</v>
      </c>
      <c r="N159">
        <v>128707</v>
      </c>
      <c r="O159">
        <v>2</v>
      </c>
      <c r="P159">
        <v>4</v>
      </c>
      <c r="Q159">
        <v>4</v>
      </c>
      <c r="R159">
        <v>14</v>
      </c>
      <c r="S159">
        <v>3</v>
      </c>
      <c r="T159">
        <v>1</v>
      </c>
      <c r="U159">
        <v>3</v>
      </c>
      <c r="V159">
        <v>4</v>
      </c>
      <c r="W159">
        <v>3</v>
      </c>
    </row>
    <row r="160" spans="1:23" x14ac:dyDescent="0.25">
      <c r="A160" s="1" t="s">
        <v>23</v>
      </c>
      <c r="B160" s="1" t="s">
        <v>24</v>
      </c>
      <c r="C160" s="1" t="s">
        <v>34</v>
      </c>
      <c r="D160" s="1" t="s">
        <v>26</v>
      </c>
      <c r="E160" s="1" t="s">
        <v>40</v>
      </c>
      <c r="F160" s="1" t="s">
        <v>52</v>
      </c>
      <c r="G160" s="1" t="s">
        <v>218</v>
      </c>
      <c r="H160">
        <v>159</v>
      </c>
      <c r="I160" s="1" t="s">
        <v>30</v>
      </c>
      <c r="J160" s="1" t="s">
        <v>31</v>
      </c>
      <c r="K160" s="1" t="s">
        <v>32</v>
      </c>
      <c r="L160" s="1" t="s">
        <v>33</v>
      </c>
      <c r="M160">
        <v>60</v>
      </c>
      <c r="N160">
        <v>61022</v>
      </c>
      <c r="O160">
        <v>4</v>
      </c>
      <c r="P160">
        <v>3</v>
      </c>
      <c r="Q160">
        <v>13</v>
      </c>
      <c r="R160">
        <v>40</v>
      </c>
      <c r="S160">
        <v>5</v>
      </c>
      <c r="T160">
        <v>2</v>
      </c>
      <c r="U160">
        <v>4</v>
      </c>
      <c r="V160">
        <v>20</v>
      </c>
      <c r="W160">
        <v>4</v>
      </c>
    </row>
    <row r="161" spans="1:23" x14ac:dyDescent="0.25">
      <c r="A161" s="1" t="s">
        <v>33</v>
      </c>
      <c r="B161" s="1" t="s">
        <v>24</v>
      </c>
      <c r="C161" s="1" t="s">
        <v>25</v>
      </c>
      <c r="D161" s="1" t="s">
        <v>73</v>
      </c>
      <c r="E161" s="1" t="s">
        <v>60</v>
      </c>
      <c r="F161" s="1" t="s">
        <v>66</v>
      </c>
      <c r="G161" s="1" t="s">
        <v>219</v>
      </c>
      <c r="H161">
        <v>160</v>
      </c>
      <c r="I161" s="1" t="s">
        <v>36</v>
      </c>
      <c r="J161" s="1" t="s">
        <v>37</v>
      </c>
      <c r="K161" s="1" t="s">
        <v>38</v>
      </c>
      <c r="L161" s="1" t="s">
        <v>23</v>
      </c>
      <c r="M161">
        <v>29</v>
      </c>
      <c r="N161">
        <v>82955</v>
      </c>
      <c r="O161">
        <v>3</v>
      </c>
      <c r="P161">
        <v>1</v>
      </c>
      <c r="Q161">
        <v>15</v>
      </c>
      <c r="R161">
        <v>35</v>
      </c>
      <c r="S161">
        <v>4</v>
      </c>
      <c r="T161">
        <v>3</v>
      </c>
      <c r="U161">
        <v>3</v>
      </c>
      <c r="V161">
        <v>28</v>
      </c>
      <c r="W161">
        <v>3</v>
      </c>
    </row>
    <row r="162" spans="1:23" x14ac:dyDescent="0.25">
      <c r="A162" s="1" t="s">
        <v>23</v>
      </c>
      <c r="B162" s="1" t="s">
        <v>54</v>
      </c>
      <c r="C162" s="1" t="s">
        <v>39</v>
      </c>
      <c r="D162" s="1" t="s">
        <v>26</v>
      </c>
      <c r="E162" s="1" t="s">
        <v>55</v>
      </c>
      <c r="F162" s="1" t="s">
        <v>68</v>
      </c>
      <c r="G162" s="1" t="s">
        <v>220</v>
      </c>
      <c r="H162">
        <v>161</v>
      </c>
      <c r="I162" s="1" t="s">
        <v>36</v>
      </c>
      <c r="J162" s="1" t="s">
        <v>64</v>
      </c>
      <c r="K162" s="1" t="s">
        <v>50</v>
      </c>
      <c r="L162" s="1" t="s">
        <v>23</v>
      </c>
      <c r="M162">
        <v>45</v>
      </c>
      <c r="N162">
        <v>47555</v>
      </c>
      <c r="O162">
        <v>2</v>
      </c>
      <c r="P162">
        <v>4</v>
      </c>
      <c r="Q162">
        <v>40</v>
      </c>
      <c r="R162">
        <v>38</v>
      </c>
      <c r="S162">
        <v>0</v>
      </c>
      <c r="T162">
        <v>1</v>
      </c>
      <c r="U162">
        <v>4</v>
      </c>
      <c r="V162">
        <v>30</v>
      </c>
      <c r="W162">
        <v>3</v>
      </c>
    </row>
    <row r="163" spans="1:23" x14ac:dyDescent="0.25">
      <c r="A163" s="1" t="s">
        <v>23</v>
      </c>
      <c r="B163" s="1" t="s">
        <v>44</v>
      </c>
      <c r="C163" s="1" t="s">
        <v>65</v>
      </c>
      <c r="D163" s="1" t="s">
        <v>26</v>
      </c>
      <c r="E163" s="1" t="s">
        <v>51</v>
      </c>
      <c r="F163" s="1" t="s">
        <v>46</v>
      </c>
      <c r="G163" s="1" t="s">
        <v>221</v>
      </c>
      <c r="H163">
        <v>162</v>
      </c>
      <c r="I163" s="1" t="s">
        <v>30</v>
      </c>
      <c r="J163" s="1" t="s">
        <v>86</v>
      </c>
      <c r="K163" s="1" t="s">
        <v>50</v>
      </c>
      <c r="L163" s="1" t="s">
        <v>33</v>
      </c>
      <c r="M163">
        <v>58</v>
      </c>
      <c r="N163">
        <v>35703</v>
      </c>
      <c r="O163">
        <v>1</v>
      </c>
      <c r="P163">
        <v>3</v>
      </c>
      <c r="Q163">
        <v>13</v>
      </c>
      <c r="R163">
        <v>2</v>
      </c>
      <c r="S163">
        <v>0</v>
      </c>
      <c r="T163">
        <v>4</v>
      </c>
      <c r="U163">
        <v>4</v>
      </c>
      <c r="V163">
        <v>21</v>
      </c>
      <c r="W163">
        <v>5</v>
      </c>
    </row>
    <row r="164" spans="1:23" x14ac:dyDescent="0.25">
      <c r="A164" s="1" t="s">
        <v>23</v>
      </c>
      <c r="B164" s="1" t="s">
        <v>24</v>
      </c>
      <c r="C164" s="1" t="s">
        <v>34</v>
      </c>
      <c r="D164" s="1" t="s">
        <v>26</v>
      </c>
      <c r="E164" s="1" t="s">
        <v>40</v>
      </c>
      <c r="F164" s="1" t="s">
        <v>52</v>
      </c>
      <c r="G164" s="1" t="s">
        <v>222</v>
      </c>
      <c r="H164">
        <v>163</v>
      </c>
      <c r="I164" s="1" t="s">
        <v>30</v>
      </c>
      <c r="J164" s="1" t="s">
        <v>76</v>
      </c>
      <c r="K164" s="1" t="s">
        <v>50</v>
      </c>
      <c r="L164" s="1" t="s">
        <v>23</v>
      </c>
      <c r="M164">
        <v>26</v>
      </c>
      <c r="N164">
        <v>152035</v>
      </c>
      <c r="O164">
        <v>2</v>
      </c>
      <c r="P164">
        <v>2</v>
      </c>
      <c r="Q164">
        <v>34</v>
      </c>
      <c r="R164">
        <v>20</v>
      </c>
      <c r="S164">
        <v>3</v>
      </c>
      <c r="T164">
        <v>1</v>
      </c>
      <c r="U164">
        <v>4</v>
      </c>
      <c r="V164">
        <v>23</v>
      </c>
      <c r="W164">
        <v>4</v>
      </c>
    </row>
    <row r="165" spans="1:23" x14ac:dyDescent="0.25">
      <c r="A165" s="1" t="s">
        <v>23</v>
      </c>
      <c r="B165" s="1" t="s">
        <v>24</v>
      </c>
      <c r="C165" s="1" t="s">
        <v>65</v>
      </c>
      <c r="D165" s="1" t="s">
        <v>26</v>
      </c>
      <c r="E165" s="1" t="s">
        <v>60</v>
      </c>
      <c r="F165" s="1" t="s">
        <v>66</v>
      </c>
      <c r="G165" s="1" t="s">
        <v>223</v>
      </c>
      <c r="H165">
        <v>164</v>
      </c>
      <c r="I165" s="1" t="s">
        <v>36</v>
      </c>
      <c r="J165" s="1" t="s">
        <v>31</v>
      </c>
      <c r="K165" s="1" t="s">
        <v>38</v>
      </c>
      <c r="L165" s="1" t="s">
        <v>33</v>
      </c>
      <c r="M165">
        <v>40</v>
      </c>
      <c r="N165">
        <v>64044</v>
      </c>
      <c r="O165">
        <v>1</v>
      </c>
      <c r="P165">
        <v>1</v>
      </c>
      <c r="Q165">
        <v>8</v>
      </c>
      <c r="R165">
        <v>0</v>
      </c>
      <c r="S165">
        <v>1</v>
      </c>
      <c r="T165">
        <v>4</v>
      </c>
      <c r="U165">
        <v>4</v>
      </c>
      <c r="V165">
        <v>17</v>
      </c>
      <c r="W165">
        <v>5</v>
      </c>
    </row>
    <row r="166" spans="1:23" x14ac:dyDescent="0.25">
      <c r="A166" s="1" t="s">
        <v>23</v>
      </c>
      <c r="B166" s="1" t="s">
        <v>44</v>
      </c>
      <c r="C166" s="1" t="s">
        <v>39</v>
      </c>
      <c r="D166" s="1" t="s">
        <v>26</v>
      </c>
      <c r="E166" s="1" t="s">
        <v>55</v>
      </c>
      <c r="F166" s="1" t="s">
        <v>28</v>
      </c>
      <c r="G166" s="1" t="s">
        <v>224</v>
      </c>
      <c r="H166">
        <v>165</v>
      </c>
      <c r="I166" s="1" t="s">
        <v>36</v>
      </c>
      <c r="J166" s="1" t="s">
        <v>31</v>
      </c>
      <c r="K166" s="1" t="s">
        <v>50</v>
      </c>
      <c r="L166" s="1" t="s">
        <v>23</v>
      </c>
      <c r="M166">
        <v>48</v>
      </c>
      <c r="N166">
        <v>89298</v>
      </c>
      <c r="O166">
        <v>1</v>
      </c>
      <c r="P166">
        <v>3</v>
      </c>
      <c r="Q166">
        <v>36</v>
      </c>
      <c r="R166">
        <v>40</v>
      </c>
      <c r="S166">
        <v>0</v>
      </c>
      <c r="T166">
        <v>4</v>
      </c>
      <c r="U166">
        <v>4</v>
      </c>
      <c r="V166">
        <v>17</v>
      </c>
      <c r="W166">
        <v>3</v>
      </c>
    </row>
    <row r="167" spans="1:23" x14ac:dyDescent="0.25">
      <c r="A167" s="1" t="s">
        <v>23</v>
      </c>
      <c r="B167" s="1" t="s">
        <v>44</v>
      </c>
      <c r="C167" s="1" t="s">
        <v>65</v>
      </c>
      <c r="D167" s="1" t="s">
        <v>26</v>
      </c>
      <c r="E167" s="1" t="s">
        <v>55</v>
      </c>
      <c r="F167" s="1" t="s">
        <v>28</v>
      </c>
      <c r="G167" s="1" t="s">
        <v>225</v>
      </c>
      <c r="H167">
        <v>166</v>
      </c>
      <c r="I167" s="1" t="s">
        <v>36</v>
      </c>
      <c r="J167" s="1" t="s">
        <v>31</v>
      </c>
      <c r="K167" s="1" t="s">
        <v>32</v>
      </c>
      <c r="L167" s="1" t="s">
        <v>33</v>
      </c>
      <c r="M167">
        <v>35</v>
      </c>
      <c r="N167">
        <v>151385</v>
      </c>
      <c r="O167">
        <v>1</v>
      </c>
      <c r="P167">
        <v>1</v>
      </c>
      <c r="Q167">
        <v>0</v>
      </c>
      <c r="R167">
        <v>15</v>
      </c>
      <c r="S167">
        <v>0</v>
      </c>
      <c r="T167">
        <v>4</v>
      </c>
      <c r="U167">
        <v>4</v>
      </c>
      <c r="V167">
        <v>13</v>
      </c>
      <c r="W167">
        <v>2</v>
      </c>
    </row>
    <row r="168" spans="1:23" x14ac:dyDescent="0.25">
      <c r="A168" s="1" t="s">
        <v>23</v>
      </c>
      <c r="B168" s="1" t="s">
        <v>54</v>
      </c>
      <c r="C168" s="1" t="s">
        <v>57</v>
      </c>
      <c r="D168" s="1" t="s">
        <v>26</v>
      </c>
      <c r="E168" s="1" t="s">
        <v>60</v>
      </c>
      <c r="F168" s="1" t="s">
        <v>52</v>
      </c>
      <c r="G168" s="1" t="s">
        <v>226</v>
      </c>
      <c r="H168">
        <v>167</v>
      </c>
      <c r="I168" s="1" t="s">
        <v>36</v>
      </c>
      <c r="J168" s="1" t="s">
        <v>48</v>
      </c>
      <c r="K168" s="1" t="s">
        <v>38</v>
      </c>
      <c r="L168" s="1" t="s">
        <v>33</v>
      </c>
      <c r="M168">
        <v>47</v>
      </c>
      <c r="N168">
        <v>101869</v>
      </c>
      <c r="O168">
        <v>3</v>
      </c>
      <c r="P168">
        <v>1</v>
      </c>
      <c r="Q168">
        <v>36</v>
      </c>
      <c r="R168">
        <v>23</v>
      </c>
      <c r="S168">
        <v>0</v>
      </c>
      <c r="T168">
        <v>1</v>
      </c>
      <c r="U168">
        <v>3</v>
      </c>
      <c r="V168">
        <v>8</v>
      </c>
      <c r="W168">
        <v>5</v>
      </c>
    </row>
    <row r="169" spans="1:23" x14ac:dyDescent="0.25">
      <c r="A169" s="1" t="s">
        <v>33</v>
      </c>
      <c r="B169" s="1" t="s">
        <v>44</v>
      </c>
      <c r="C169" s="1" t="s">
        <v>57</v>
      </c>
      <c r="D169" s="1" t="s">
        <v>73</v>
      </c>
      <c r="E169" s="1" t="s">
        <v>60</v>
      </c>
      <c r="F169" s="1" t="s">
        <v>46</v>
      </c>
      <c r="G169" s="1" t="s">
        <v>227</v>
      </c>
      <c r="H169">
        <v>168</v>
      </c>
      <c r="I169" s="1" t="s">
        <v>36</v>
      </c>
      <c r="J169" s="1" t="s">
        <v>37</v>
      </c>
      <c r="K169" s="1" t="s">
        <v>50</v>
      </c>
      <c r="L169" s="1" t="s">
        <v>23</v>
      </c>
      <c r="M169">
        <v>21</v>
      </c>
      <c r="N169">
        <v>114709</v>
      </c>
      <c r="O169">
        <v>2</v>
      </c>
      <c r="P169">
        <v>3</v>
      </c>
      <c r="Q169">
        <v>36</v>
      </c>
      <c r="R169">
        <v>19</v>
      </c>
      <c r="S169">
        <v>5</v>
      </c>
      <c r="T169">
        <v>2</v>
      </c>
      <c r="U169">
        <v>4</v>
      </c>
      <c r="V169">
        <v>12</v>
      </c>
      <c r="W169">
        <v>5</v>
      </c>
    </row>
    <row r="170" spans="1:23" x14ac:dyDescent="0.25">
      <c r="A170" s="1" t="s">
        <v>33</v>
      </c>
      <c r="B170" s="1" t="s">
        <v>54</v>
      </c>
      <c r="C170" s="1" t="s">
        <v>57</v>
      </c>
      <c r="D170" s="1" t="s">
        <v>73</v>
      </c>
      <c r="E170" s="1" t="s">
        <v>55</v>
      </c>
      <c r="F170" s="1" t="s">
        <v>41</v>
      </c>
      <c r="G170" s="1" t="s">
        <v>228</v>
      </c>
      <c r="H170">
        <v>169</v>
      </c>
      <c r="I170" s="1" t="s">
        <v>30</v>
      </c>
      <c r="J170" s="1" t="s">
        <v>70</v>
      </c>
      <c r="K170" s="1" t="s">
        <v>50</v>
      </c>
      <c r="L170" s="1" t="s">
        <v>23</v>
      </c>
      <c r="M170">
        <v>22</v>
      </c>
      <c r="N170">
        <v>79078</v>
      </c>
      <c r="O170">
        <v>3</v>
      </c>
      <c r="P170">
        <v>1</v>
      </c>
      <c r="Q170">
        <v>21</v>
      </c>
      <c r="R170">
        <v>0</v>
      </c>
      <c r="S170">
        <v>6</v>
      </c>
      <c r="T170">
        <v>4</v>
      </c>
      <c r="U170">
        <v>4</v>
      </c>
      <c r="V170">
        <v>4</v>
      </c>
      <c r="W170">
        <v>2</v>
      </c>
    </row>
    <row r="171" spans="1:23" x14ac:dyDescent="0.25">
      <c r="A171" s="1" t="s">
        <v>23</v>
      </c>
      <c r="B171" s="1" t="s">
        <v>24</v>
      </c>
      <c r="C171" s="1" t="s">
        <v>34</v>
      </c>
      <c r="D171" s="1" t="s">
        <v>26</v>
      </c>
      <c r="E171" s="1" t="s">
        <v>40</v>
      </c>
      <c r="F171" s="1" t="s">
        <v>28</v>
      </c>
      <c r="G171" s="1" t="s">
        <v>229</v>
      </c>
      <c r="H171">
        <v>170</v>
      </c>
      <c r="I171" s="1" t="s">
        <v>36</v>
      </c>
      <c r="J171" s="1" t="s">
        <v>31</v>
      </c>
      <c r="K171" s="1" t="s">
        <v>50</v>
      </c>
      <c r="L171" s="1" t="s">
        <v>33</v>
      </c>
      <c r="M171">
        <v>54</v>
      </c>
      <c r="N171">
        <v>126280</v>
      </c>
      <c r="O171">
        <v>3</v>
      </c>
      <c r="P171">
        <v>4</v>
      </c>
      <c r="Q171">
        <v>5</v>
      </c>
      <c r="R171">
        <v>37</v>
      </c>
      <c r="S171">
        <v>0</v>
      </c>
      <c r="T171">
        <v>2</v>
      </c>
      <c r="U171">
        <v>4</v>
      </c>
      <c r="V171">
        <v>3</v>
      </c>
      <c r="W171">
        <v>5</v>
      </c>
    </row>
    <row r="172" spans="1:23" x14ac:dyDescent="0.25">
      <c r="A172" s="1" t="s">
        <v>23</v>
      </c>
      <c r="B172" s="1" t="s">
        <v>24</v>
      </c>
      <c r="C172" s="1" t="s">
        <v>34</v>
      </c>
      <c r="D172" s="1" t="s">
        <v>26</v>
      </c>
      <c r="E172" s="1" t="s">
        <v>55</v>
      </c>
      <c r="F172" s="1" t="s">
        <v>46</v>
      </c>
      <c r="G172" s="1" t="s">
        <v>230</v>
      </c>
      <c r="H172">
        <v>171</v>
      </c>
      <c r="I172" s="1" t="s">
        <v>36</v>
      </c>
      <c r="J172" s="1" t="s">
        <v>37</v>
      </c>
      <c r="K172" s="1" t="s">
        <v>38</v>
      </c>
      <c r="L172" s="1" t="s">
        <v>23</v>
      </c>
      <c r="M172">
        <v>41</v>
      </c>
      <c r="N172">
        <v>136687</v>
      </c>
      <c r="O172">
        <v>3</v>
      </c>
      <c r="P172">
        <v>2</v>
      </c>
      <c r="Q172">
        <v>4</v>
      </c>
      <c r="R172">
        <v>12</v>
      </c>
      <c r="S172">
        <v>1</v>
      </c>
      <c r="T172">
        <v>1</v>
      </c>
      <c r="U172">
        <v>3</v>
      </c>
      <c r="V172">
        <v>4</v>
      </c>
      <c r="W172">
        <v>2</v>
      </c>
    </row>
    <row r="173" spans="1:23" x14ac:dyDescent="0.25">
      <c r="A173" s="1" t="s">
        <v>23</v>
      </c>
      <c r="B173" s="1" t="s">
        <v>54</v>
      </c>
      <c r="C173" s="1" t="s">
        <v>34</v>
      </c>
      <c r="D173" s="1" t="s">
        <v>26</v>
      </c>
      <c r="E173" s="1" t="s">
        <v>60</v>
      </c>
      <c r="F173" s="1" t="s">
        <v>46</v>
      </c>
      <c r="G173" s="1" t="s">
        <v>231</v>
      </c>
      <c r="H173">
        <v>172</v>
      </c>
      <c r="I173" s="1" t="s">
        <v>30</v>
      </c>
      <c r="J173" s="1" t="s">
        <v>86</v>
      </c>
      <c r="K173" s="1" t="s">
        <v>38</v>
      </c>
      <c r="L173" s="1" t="s">
        <v>23</v>
      </c>
      <c r="M173">
        <v>37</v>
      </c>
      <c r="N173">
        <v>49434</v>
      </c>
      <c r="O173">
        <v>1</v>
      </c>
      <c r="P173">
        <v>2</v>
      </c>
      <c r="Q173">
        <v>19</v>
      </c>
      <c r="R173">
        <v>38</v>
      </c>
      <c r="S173">
        <v>0</v>
      </c>
      <c r="T173">
        <v>2</v>
      </c>
      <c r="U173">
        <v>4</v>
      </c>
      <c r="V173">
        <v>5</v>
      </c>
      <c r="W173">
        <v>1</v>
      </c>
    </row>
    <row r="174" spans="1:23" x14ac:dyDescent="0.25">
      <c r="A174" s="1" t="s">
        <v>23</v>
      </c>
      <c r="B174" s="1" t="s">
        <v>54</v>
      </c>
      <c r="C174" s="1" t="s">
        <v>57</v>
      </c>
      <c r="D174" s="1" t="s">
        <v>26</v>
      </c>
      <c r="E174" s="1" t="s">
        <v>40</v>
      </c>
      <c r="F174" s="1" t="s">
        <v>66</v>
      </c>
      <c r="G174" s="1" t="s">
        <v>232</v>
      </c>
      <c r="H174">
        <v>173</v>
      </c>
      <c r="I174" s="1" t="s">
        <v>36</v>
      </c>
      <c r="J174" s="1" t="s">
        <v>76</v>
      </c>
      <c r="K174" s="1" t="s">
        <v>50</v>
      </c>
      <c r="L174" s="1" t="s">
        <v>33</v>
      </c>
      <c r="M174">
        <v>46</v>
      </c>
      <c r="N174">
        <v>136541</v>
      </c>
      <c r="O174">
        <v>2</v>
      </c>
      <c r="P174">
        <v>1</v>
      </c>
      <c r="Q174">
        <v>29</v>
      </c>
      <c r="R174">
        <v>6</v>
      </c>
      <c r="S174">
        <v>6</v>
      </c>
      <c r="T174">
        <v>2</v>
      </c>
      <c r="U174">
        <v>3</v>
      </c>
      <c r="V174">
        <v>1</v>
      </c>
      <c r="W174">
        <v>1</v>
      </c>
    </row>
    <row r="175" spans="1:23" x14ac:dyDescent="0.25">
      <c r="A175" s="1" t="s">
        <v>23</v>
      </c>
      <c r="B175" s="1" t="s">
        <v>24</v>
      </c>
      <c r="C175" s="1" t="s">
        <v>57</v>
      </c>
      <c r="D175" s="1" t="s">
        <v>26</v>
      </c>
      <c r="E175" s="1" t="s">
        <v>55</v>
      </c>
      <c r="F175" s="1" t="s">
        <v>68</v>
      </c>
      <c r="G175" s="1" t="s">
        <v>233</v>
      </c>
      <c r="H175">
        <v>174</v>
      </c>
      <c r="I175" s="1" t="s">
        <v>36</v>
      </c>
      <c r="J175" s="1" t="s">
        <v>31</v>
      </c>
      <c r="K175" s="1" t="s">
        <v>32</v>
      </c>
      <c r="L175" s="1" t="s">
        <v>23</v>
      </c>
      <c r="M175">
        <v>25</v>
      </c>
      <c r="N175">
        <v>23714</v>
      </c>
      <c r="O175">
        <v>1</v>
      </c>
      <c r="P175">
        <v>2</v>
      </c>
      <c r="Q175">
        <v>28</v>
      </c>
      <c r="R175">
        <v>8</v>
      </c>
      <c r="S175">
        <v>0</v>
      </c>
      <c r="T175">
        <v>3</v>
      </c>
      <c r="U175">
        <v>3</v>
      </c>
      <c r="V175">
        <v>2</v>
      </c>
      <c r="W175">
        <v>4</v>
      </c>
    </row>
    <row r="176" spans="1:23" x14ac:dyDescent="0.25">
      <c r="A176" s="1" t="s">
        <v>23</v>
      </c>
      <c r="B176" s="1" t="s">
        <v>54</v>
      </c>
      <c r="C176" s="1" t="s">
        <v>65</v>
      </c>
      <c r="D176" s="1" t="s">
        <v>26</v>
      </c>
      <c r="E176" s="1" t="s">
        <v>40</v>
      </c>
      <c r="F176" s="1" t="s">
        <v>68</v>
      </c>
      <c r="G176" s="1" t="s">
        <v>234</v>
      </c>
      <c r="H176">
        <v>175</v>
      </c>
      <c r="I176" s="1" t="s">
        <v>36</v>
      </c>
      <c r="J176" s="1" t="s">
        <v>64</v>
      </c>
      <c r="K176" s="1" t="s">
        <v>38</v>
      </c>
      <c r="L176" s="1" t="s">
        <v>23</v>
      </c>
      <c r="M176">
        <v>32</v>
      </c>
      <c r="N176">
        <v>110784</v>
      </c>
      <c r="O176">
        <v>2</v>
      </c>
      <c r="P176">
        <v>2</v>
      </c>
      <c r="Q176">
        <v>17</v>
      </c>
      <c r="R176">
        <v>17</v>
      </c>
      <c r="S176">
        <v>3</v>
      </c>
      <c r="T176">
        <v>2</v>
      </c>
      <c r="U176">
        <v>3</v>
      </c>
      <c r="V176">
        <v>20</v>
      </c>
      <c r="W176">
        <v>5</v>
      </c>
    </row>
    <row r="177" spans="1:23" x14ac:dyDescent="0.25">
      <c r="A177" s="1" t="s">
        <v>23</v>
      </c>
      <c r="B177" s="1" t="s">
        <v>44</v>
      </c>
      <c r="C177" s="1" t="s">
        <v>39</v>
      </c>
      <c r="D177" s="1" t="s">
        <v>26</v>
      </c>
      <c r="E177" s="1" t="s">
        <v>40</v>
      </c>
      <c r="F177" s="1" t="s">
        <v>41</v>
      </c>
      <c r="G177" s="1" t="s">
        <v>235</v>
      </c>
      <c r="H177">
        <v>176</v>
      </c>
      <c r="I177" s="1" t="s">
        <v>36</v>
      </c>
      <c r="J177" s="1" t="s">
        <v>64</v>
      </c>
      <c r="K177" s="1" t="s">
        <v>50</v>
      </c>
      <c r="L177" s="1" t="s">
        <v>23</v>
      </c>
      <c r="M177">
        <v>45</v>
      </c>
      <c r="N177">
        <v>53975</v>
      </c>
      <c r="O177">
        <v>4</v>
      </c>
      <c r="P177">
        <v>2</v>
      </c>
      <c r="Q177">
        <v>33</v>
      </c>
      <c r="R177">
        <v>15</v>
      </c>
      <c r="S177">
        <v>5</v>
      </c>
      <c r="T177">
        <v>1</v>
      </c>
      <c r="U177">
        <v>4</v>
      </c>
      <c r="V177">
        <v>26</v>
      </c>
      <c r="W177">
        <v>3</v>
      </c>
    </row>
    <row r="178" spans="1:23" x14ac:dyDescent="0.25">
      <c r="A178" s="1" t="s">
        <v>23</v>
      </c>
      <c r="B178" s="1" t="s">
        <v>54</v>
      </c>
      <c r="C178" s="1" t="s">
        <v>65</v>
      </c>
      <c r="D178" s="1" t="s">
        <v>26</v>
      </c>
      <c r="E178" s="1" t="s">
        <v>27</v>
      </c>
      <c r="F178" s="1" t="s">
        <v>41</v>
      </c>
      <c r="G178" s="1" t="s">
        <v>236</v>
      </c>
      <c r="H178">
        <v>177</v>
      </c>
      <c r="I178" s="1" t="s">
        <v>36</v>
      </c>
      <c r="J178" s="1" t="s">
        <v>41</v>
      </c>
      <c r="K178" s="1" t="s">
        <v>38</v>
      </c>
      <c r="L178" s="1" t="s">
        <v>33</v>
      </c>
      <c r="M178">
        <v>22</v>
      </c>
      <c r="N178">
        <v>101591</v>
      </c>
      <c r="O178">
        <v>2</v>
      </c>
      <c r="P178">
        <v>1</v>
      </c>
      <c r="Q178">
        <v>17</v>
      </c>
      <c r="R178">
        <v>3</v>
      </c>
      <c r="S178">
        <v>6</v>
      </c>
      <c r="T178">
        <v>4</v>
      </c>
      <c r="U178">
        <v>4</v>
      </c>
      <c r="V178">
        <v>25</v>
      </c>
      <c r="W178">
        <v>5</v>
      </c>
    </row>
    <row r="179" spans="1:23" x14ac:dyDescent="0.25">
      <c r="A179" s="1" t="s">
        <v>33</v>
      </c>
      <c r="B179" s="1" t="s">
        <v>24</v>
      </c>
      <c r="C179" s="1" t="s">
        <v>57</v>
      </c>
      <c r="D179" s="1" t="s">
        <v>73</v>
      </c>
      <c r="E179" s="1" t="s">
        <v>60</v>
      </c>
      <c r="F179" s="1" t="s">
        <v>52</v>
      </c>
      <c r="G179" s="1" t="s">
        <v>237</v>
      </c>
      <c r="H179">
        <v>178</v>
      </c>
      <c r="I179" s="1" t="s">
        <v>30</v>
      </c>
      <c r="J179" s="1" t="s">
        <v>76</v>
      </c>
      <c r="K179" s="1" t="s">
        <v>32</v>
      </c>
      <c r="L179" s="1" t="s">
        <v>33</v>
      </c>
      <c r="M179">
        <v>35</v>
      </c>
      <c r="N179">
        <v>168914</v>
      </c>
      <c r="O179">
        <v>4</v>
      </c>
      <c r="P179">
        <v>3</v>
      </c>
      <c r="Q179">
        <v>11</v>
      </c>
      <c r="R179">
        <v>11</v>
      </c>
      <c r="S179">
        <v>1</v>
      </c>
      <c r="T179">
        <v>3</v>
      </c>
      <c r="U179">
        <v>4</v>
      </c>
      <c r="V179">
        <v>30</v>
      </c>
      <c r="W179">
        <v>5</v>
      </c>
    </row>
    <row r="180" spans="1:23" x14ac:dyDescent="0.25">
      <c r="A180" s="1" t="s">
        <v>23</v>
      </c>
      <c r="B180" s="1" t="s">
        <v>54</v>
      </c>
      <c r="C180" s="1" t="s">
        <v>39</v>
      </c>
      <c r="D180" s="1" t="s">
        <v>26</v>
      </c>
      <c r="E180" s="1" t="s">
        <v>51</v>
      </c>
      <c r="F180" s="1" t="s">
        <v>28</v>
      </c>
      <c r="G180" s="1" t="s">
        <v>238</v>
      </c>
      <c r="H180">
        <v>179</v>
      </c>
      <c r="I180" s="1" t="s">
        <v>30</v>
      </c>
      <c r="J180" s="1" t="s">
        <v>86</v>
      </c>
      <c r="K180" s="1" t="s">
        <v>32</v>
      </c>
      <c r="L180" s="1" t="s">
        <v>23</v>
      </c>
      <c r="M180">
        <v>32</v>
      </c>
      <c r="N180">
        <v>146564</v>
      </c>
      <c r="O180">
        <v>1</v>
      </c>
      <c r="P180">
        <v>1</v>
      </c>
      <c r="Q180">
        <v>3</v>
      </c>
      <c r="R180">
        <v>14</v>
      </c>
      <c r="S180">
        <v>4</v>
      </c>
      <c r="T180">
        <v>2</v>
      </c>
      <c r="U180">
        <v>3</v>
      </c>
      <c r="V180">
        <v>17</v>
      </c>
      <c r="W180">
        <v>4</v>
      </c>
    </row>
    <row r="181" spans="1:23" x14ac:dyDescent="0.25">
      <c r="A181" s="1" t="s">
        <v>23</v>
      </c>
      <c r="B181" s="1" t="s">
        <v>24</v>
      </c>
      <c r="C181" s="1" t="s">
        <v>65</v>
      </c>
      <c r="D181" s="1" t="s">
        <v>26</v>
      </c>
      <c r="E181" s="1" t="s">
        <v>55</v>
      </c>
      <c r="F181" s="1" t="s">
        <v>46</v>
      </c>
      <c r="G181" s="1" t="s">
        <v>239</v>
      </c>
      <c r="H181">
        <v>180</v>
      </c>
      <c r="I181" s="1" t="s">
        <v>30</v>
      </c>
      <c r="J181" s="1" t="s">
        <v>37</v>
      </c>
      <c r="K181" s="1" t="s">
        <v>50</v>
      </c>
      <c r="L181" s="1" t="s">
        <v>33</v>
      </c>
      <c r="M181">
        <v>30</v>
      </c>
      <c r="N181">
        <v>171776</v>
      </c>
      <c r="O181">
        <v>2</v>
      </c>
      <c r="P181">
        <v>1</v>
      </c>
      <c r="Q181">
        <v>33</v>
      </c>
      <c r="R181">
        <v>23</v>
      </c>
      <c r="S181">
        <v>0</v>
      </c>
      <c r="T181">
        <v>3</v>
      </c>
      <c r="U181">
        <v>4</v>
      </c>
      <c r="V181">
        <v>19</v>
      </c>
      <c r="W181">
        <v>1</v>
      </c>
    </row>
    <row r="182" spans="1:23" x14ac:dyDescent="0.25">
      <c r="A182" s="1" t="s">
        <v>23</v>
      </c>
      <c r="B182" s="1" t="s">
        <v>54</v>
      </c>
      <c r="C182" s="1" t="s">
        <v>34</v>
      </c>
      <c r="D182" s="1" t="s">
        <v>26</v>
      </c>
      <c r="E182" s="1" t="s">
        <v>55</v>
      </c>
      <c r="F182" s="1" t="s">
        <v>68</v>
      </c>
      <c r="G182" s="1" t="s">
        <v>240</v>
      </c>
      <c r="H182">
        <v>181</v>
      </c>
      <c r="I182" s="1" t="s">
        <v>36</v>
      </c>
      <c r="J182" s="1" t="s">
        <v>37</v>
      </c>
      <c r="K182" s="1" t="s">
        <v>50</v>
      </c>
      <c r="L182" s="1" t="s">
        <v>23</v>
      </c>
      <c r="M182">
        <v>35</v>
      </c>
      <c r="N182">
        <v>172389</v>
      </c>
      <c r="O182">
        <v>2</v>
      </c>
      <c r="P182">
        <v>4</v>
      </c>
      <c r="Q182">
        <v>19</v>
      </c>
      <c r="R182">
        <v>18</v>
      </c>
      <c r="S182">
        <v>1</v>
      </c>
      <c r="T182">
        <v>2</v>
      </c>
      <c r="U182">
        <v>3</v>
      </c>
      <c r="V182">
        <v>23</v>
      </c>
      <c r="W182">
        <v>5</v>
      </c>
    </row>
    <row r="183" spans="1:23" x14ac:dyDescent="0.25">
      <c r="A183" s="1" t="s">
        <v>23</v>
      </c>
      <c r="B183" s="1" t="s">
        <v>24</v>
      </c>
      <c r="C183" s="1" t="s">
        <v>57</v>
      </c>
      <c r="D183" s="1" t="s">
        <v>26</v>
      </c>
      <c r="E183" s="1" t="s">
        <v>51</v>
      </c>
      <c r="F183" s="1" t="s">
        <v>28</v>
      </c>
      <c r="G183" s="1" t="s">
        <v>241</v>
      </c>
      <c r="H183">
        <v>182</v>
      </c>
      <c r="I183" s="1" t="s">
        <v>36</v>
      </c>
      <c r="J183" s="1" t="s">
        <v>43</v>
      </c>
      <c r="K183" s="1" t="s">
        <v>50</v>
      </c>
      <c r="L183" s="1" t="s">
        <v>33</v>
      </c>
      <c r="M183">
        <v>52</v>
      </c>
      <c r="N183">
        <v>54868</v>
      </c>
      <c r="O183">
        <v>3</v>
      </c>
      <c r="P183">
        <v>1</v>
      </c>
      <c r="Q183">
        <v>15</v>
      </c>
      <c r="R183">
        <v>22</v>
      </c>
      <c r="S183">
        <v>2</v>
      </c>
      <c r="T183">
        <v>2</v>
      </c>
      <c r="U183">
        <v>3</v>
      </c>
      <c r="V183">
        <v>27</v>
      </c>
      <c r="W183">
        <v>3</v>
      </c>
    </row>
    <row r="184" spans="1:23" x14ac:dyDescent="0.25">
      <c r="A184" s="1" t="s">
        <v>23</v>
      </c>
      <c r="B184" s="1" t="s">
        <v>54</v>
      </c>
      <c r="C184" s="1" t="s">
        <v>34</v>
      </c>
      <c r="D184" s="1" t="s">
        <v>26</v>
      </c>
      <c r="E184" s="1" t="s">
        <v>55</v>
      </c>
      <c r="F184" s="1" t="s">
        <v>66</v>
      </c>
      <c r="G184" s="1" t="s">
        <v>242</v>
      </c>
      <c r="H184">
        <v>183</v>
      </c>
      <c r="I184" s="1" t="s">
        <v>36</v>
      </c>
      <c r="J184" s="1" t="s">
        <v>76</v>
      </c>
      <c r="K184" s="1" t="s">
        <v>50</v>
      </c>
      <c r="L184" s="1" t="s">
        <v>33</v>
      </c>
      <c r="M184">
        <v>24</v>
      </c>
      <c r="N184">
        <v>119171</v>
      </c>
      <c r="O184">
        <v>4</v>
      </c>
      <c r="P184">
        <v>4</v>
      </c>
      <c r="Q184">
        <v>10</v>
      </c>
      <c r="R184">
        <v>26</v>
      </c>
      <c r="S184">
        <v>3</v>
      </c>
      <c r="T184">
        <v>4</v>
      </c>
      <c r="U184">
        <v>4</v>
      </c>
      <c r="V184">
        <v>18</v>
      </c>
      <c r="W184">
        <v>4</v>
      </c>
    </row>
    <row r="185" spans="1:23" x14ac:dyDescent="0.25">
      <c r="A185" s="1" t="s">
        <v>23</v>
      </c>
      <c r="B185" s="1" t="s">
        <v>54</v>
      </c>
      <c r="C185" s="1" t="s">
        <v>39</v>
      </c>
      <c r="D185" s="1" t="s">
        <v>26</v>
      </c>
      <c r="E185" s="1" t="s">
        <v>51</v>
      </c>
      <c r="F185" s="1" t="s">
        <v>52</v>
      </c>
      <c r="G185" s="1" t="s">
        <v>243</v>
      </c>
      <c r="H185">
        <v>184</v>
      </c>
      <c r="I185" s="1" t="s">
        <v>30</v>
      </c>
      <c r="J185" s="1" t="s">
        <v>70</v>
      </c>
      <c r="K185" s="1" t="s">
        <v>38</v>
      </c>
      <c r="L185" s="1" t="s">
        <v>33</v>
      </c>
      <c r="M185">
        <v>23</v>
      </c>
      <c r="N185">
        <v>95308</v>
      </c>
      <c r="O185">
        <v>1</v>
      </c>
      <c r="P185">
        <v>3</v>
      </c>
      <c r="Q185">
        <v>16</v>
      </c>
      <c r="R185">
        <v>6</v>
      </c>
      <c r="S185">
        <v>0</v>
      </c>
      <c r="T185">
        <v>3</v>
      </c>
      <c r="U185">
        <v>3</v>
      </c>
      <c r="V185">
        <v>29</v>
      </c>
      <c r="W185">
        <v>4</v>
      </c>
    </row>
    <row r="186" spans="1:23" x14ac:dyDescent="0.25">
      <c r="A186" s="1" t="s">
        <v>23</v>
      </c>
      <c r="B186" s="1" t="s">
        <v>44</v>
      </c>
      <c r="C186" s="1" t="s">
        <v>25</v>
      </c>
      <c r="D186" s="1" t="s">
        <v>26</v>
      </c>
      <c r="E186" s="1" t="s">
        <v>60</v>
      </c>
      <c r="F186" s="1" t="s">
        <v>41</v>
      </c>
      <c r="G186" s="1" t="s">
        <v>244</v>
      </c>
      <c r="H186">
        <v>185</v>
      </c>
      <c r="I186" s="1" t="s">
        <v>36</v>
      </c>
      <c r="J186" s="1" t="s">
        <v>64</v>
      </c>
      <c r="K186" s="1" t="s">
        <v>38</v>
      </c>
      <c r="L186" s="1" t="s">
        <v>33</v>
      </c>
      <c r="M186">
        <v>59</v>
      </c>
      <c r="N186">
        <v>131823</v>
      </c>
      <c r="O186">
        <v>2</v>
      </c>
      <c r="P186">
        <v>1</v>
      </c>
      <c r="Q186">
        <v>6</v>
      </c>
      <c r="R186">
        <v>21</v>
      </c>
      <c r="S186">
        <v>1</v>
      </c>
      <c r="T186">
        <v>2</v>
      </c>
      <c r="U186">
        <v>4</v>
      </c>
      <c r="V186">
        <v>23</v>
      </c>
      <c r="W186">
        <v>5</v>
      </c>
    </row>
    <row r="187" spans="1:23" x14ac:dyDescent="0.25">
      <c r="A187" s="1" t="s">
        <v>23</v>
      </c>
      <c r="B187" s="1" t="s">
        <v>54</v>
      </c>
      <c r="C187" s="1" t="s">
        <v>39</v>
      </c>
      <c r="D187" s="1" t="s">
        <v>26</v>
      </c>
      <c r="E187" s="1" t="s">
        <v>27</v>
      </c>
      <c r="F187" s="1" t="s">
        <v>46</v>
      </c>
      <c r="G187" s="1" t="s">
        <v>245</v>
      </c>
      <c r="H187">
        <v>186</v>
      </c>
      <c r="I187" s="1" t="s">
        <v>36</v>
      </c>
      <c r="J187" s="1" t="s">
        <v>48</v>
      </c>
      <c r="K187" s="1" t="s">
        <v>50</v>
      </c>
      <c r="L187" s="1" t="s">
        <v>33</v>
      </c>
      <c r="M187">
        <v>46</v>
      </c>
      <c r="N187">
        <v>167886</v>
      </c>
      <c r="O187">
        <v>4</v>
      </c>
      <c r="P187">
        <v>2</v>
      </c>
      <c r="Q187">
        <v>3</v>
      </c>
      <c r="R187">
        <v>23</v>
      </c>
      <c r="S187">
        <v>0</v>
      </c>
      <c r="T187">
        <v>4</v>
      </c>
      <c r="U187">
        <v>3</v>
      </c>
      <c r="V187">
        <v>10</v>
      </c>
      <c r="W187">
        <v>5</v>
      </c>
    </row>
    <row r="188" spans="1:23" x14ac:dyDescent="0.25">
      <c r="A188" s="1" t="s">
        <v>23</v>
      </c>
      <c r="B188" s="1" t="s">
        <v>24</v>
      </c>
      <c r="C188" s="1" t="s">
        <v>25</v>
      </c>
      <c r="D188" s="1" t="s">
        <v>26</v>
      </c>
      <c r="E188" s="1" t="s">
        <v>55</v>
      </c>
      <c r="F188" s="1" t="s">
        <v>52</v>
      </c>
      <c r="G188" s="1" t="s">
        <v>246</v>
      </c>
      <c r="H188">
        <v>187</v>
      </c>
      <c r="I188" s="1" t="s">
        <v>36</v>
      </c>
      <c r="J188" s="1" t="s">
        <v>31</v>
      </c>
      <c r="K188" s="1" t="s">
        <v>38</v>
      </c>
      <c r="L188" s="1" t="s">
        <v>33</v>
      </c>
      <c r="M188">
        <v>40</v>
      </c>
      <c r="N188">
        <v>122193</v>
      </c>
      <c r="O188">
        <v>4</v>
      </c>
      <c r="P188">
        <v>4</v>
      </c>
      <c r="Q188">
        <v>16</v>
      </c>
      <c r="R188">
        <v>5</v>
      </c>
      <c r="S188">
        <v>5</v>
      </c>
      <c r="T188">
        <v>4</v>
      </c>
      <c r="U188">
        <v>3</v>
      </c>
      <c r="V188">
        <v>12</v>
      </c>
      <c r="W188">
        <v>4</v>
      </c>
    </row>
    <row r="189" spans="1:23" x14ac:dyDescent="0.25">
      <c r="A189" s="1" t="s">
        <v>23</v>
      </c>
      <c r="B189" s="1" t="s">
        <v>44</v>
      </c>
      <c r="C189" s="1" t="s">
        <v>34</v>
      </c>
      <c r="D189" s="1" t="s">
        <v>26</v>
      </c>
      <c r="E189" s="1" t="s">
        <v>27</v>
      </c>
      <c r="F189" s="1" t="s">
        <v>68</v>
      </c>
      <c r="G189" s="1" t="s">
        <v>247</v>
      </c>
      <c r="H189">
        <v>188</v>
      </c>
      <c r="I189" s="1" t="s">
        <v>36</v>
      </c>
      <c r="J189" s="1" t="s">
        <v>48</v>
      </c>
      <c r="K189" s="1" t="s">
        <v>38</v>
      </c>
      <c r="L189" s="1" t="s">
        <v>33</v>
      </c>
      <c r="M189">
        <v>30</v>
      </c>
      <c r="N189">
        <v>43350</v>
      </c>
      <c r="O189">
        <v>1</v>
      </c>
      <c r="P189">
        <v>3</v>
      </c>
      <c r="Q189">
        <v>34</v>
      </c>
      <c r="R189">
        <v>26</v>
      </c>
      <c r="S189">
        <v>6</v>
      </c>
      <c r="T189">
        <v>2</v>
      </c>
      <c r="U189">
        <v>3</v>
      </c>
      <c r="V189">
        <v>27</v>
      </c>
      <c r="W189">
        <v>4</v>
      </c>
    </row>
    <row r="190" spans="1:23" x14ac:dyDescent="0.25">
      <c r="A190" s="1" t="s">
        <v>23</v>
      </c>
      <c r="B190" s="1" t="s">
        <v>54</v>
      </c>
      <c r="C190" s="1" t="s">
        <v>34</v>
      </c>
      <c r="D190" s="1" t="s">
        <v>26</v>
      </c>
      <c r="E190" s="1" t="s">
        <v>51</v>
      </c>
      <c r="F190" s="1" t="s">
        <v>68</v>
      </c>
      <c r="G190" s="1" t="s">
        <v>248</v>
      </c>
      <c r="H190">
        <v>189</v>
      </c>
      <c r="I190" s="1" t="s">
        <v>30</v>
      </c>
      <c r="J190" s="1" t="s">
        <v>86</v>
      </c>
      <c r="K190" s="1" t="s">
        <v>38</v>
      </c>
      <c r="L190" s="1" t="s">
        <v>33</v>
      </c>
      <c r="M190">
        <v>46</v>
      </c>
      <c r="N190">
        <v>27103</v>
      </c>
      <c r="O190">
        <v>2</v>
      </c>
      <c r="P190">
        <v>1</v>
      </c>
      <c r="Q190">
        <v>28</v>
      </c>
      <c r="R190">
        <v>11</v>
      </c>
      <c r="S190">
        <v>1</v>
      </c>
      <c r="T190">
        <v>2</v>
      </c>
      <c r="U190">
        <v>3</v>
      </c>
      <c r="V190">
        <v>5</v>
      </c>
      <c r="W190">
        <v>1</v>
      </c>
    </row>
    <row r="191" spans="1:23" x14ac:dyDescent="0.25">
      <c r="A191" s="1" t="s">
        <v>23</v>
      </c>
      <c r="B191" s="1" t="s">
        <v>24</v>
      </c>
      <c r="C191" s="1" t="s">
        <v>57</v>
      </c>
      <c r="D191" s="1" t="s">
        <v>26</v>
      </c>
      <c r="E191" s="1" t="s">
        <v>40</v>
      </c>
      <c r="F191" s="1" t="s">
        <v>52</v>
      </c>
      <c r="G191" s="1" t="s">
        <v>249</v>
      </c>
      <c r="H191">
        <v>190</v>
      </c>
      <c r="I191" s="1" t="s">
        <v>30</v>
      </c>
      <c r="J191" s="1" t="s">
        <v>43</v>
      </c>
      <c r="K191" s="1" t="s">
        <v>38</v>
      </c>
      <c r="L191" s="1" t="s">
        <v>23</v>
      </c>
      <c r="M191">
        <v>25</v>
      </c>
      <c r="N191">
        <v>40813</v>
      </c>
      <c r="O191">
        <v>4</v>
      </c>
      <c r="P191">
        <v>4</v>
      </c>
      <c r="Q191">
        <v>35</v>
      </c>
      <c r="R191">
        <v>20</v>
      </c>
      <c r="S191">
        <v>6</v>
      </c>
      <c r="T191">
        <v>3</v>
      </c>
      <c r="U191">
        <v>4</v>
      </c>
      <c r="V191">
        <v>30</v>
      </c>
      <c r="W191">
        <v>1</v>
      </c>
    </row>
    <row r="192" spans="1:23" x14ac:dyDescent="0.25">
      <c r="A192" s="1" t="s">
        <v>23</v>
      </c>
      <c r="B192" s="1" t="s">
        <v>44</v>
      </c>
      <c r="C192" s="1" t="s">
        <v>39</v>
      </c>
      <c r="D192" s="1" t="s">
        <v>26</v>
      </c>
      <c r="E192" s="1" t="s">
        <v>51</v>
      </c>
      <c r="F192" s="1" t="s">
        <v>66</v>
      </c>
      <c r="G192" s="1" t="s">
        <v>250</v>
      </c>
      <c r="H192">
        <v>191</v>
      </c>
      <c r="I192" s="1" t="s">
        <v>36</v>
      </c>
      <c r="J192" s="1" t="s">
        <v>70</v>
      </c>
      <c r="K192" s="1" t="s">
        <v>50</v>
      </c>
      <c r="L192" s="1" t="s">
        <v>33</v>
      </c>
      <c r="M192">
        <v>27</v>
      </c>
      <c r="N192">
        <v>165504</v>
      </c>
      <c r="O192">
        <v>1</v>
      </c>
      <c r="P192">
        <v>3</v>
      </c>
      <c r="Q192">
        <v>34</v>
      </c>
      <c r="R192">
        <v>22</v>
      </c>
      <c r="S192">
        <v>3</v>
      </c>
      <c r="T192">
        <v>3</v>
      </c>
      <c r="U192">
        <v>4</v>
      </c>
      <c r="V192">
        <v>21</v>
      </c>
      <c r="W192">
        <v>4</v>
      </c>
    </row>
    <row r="193" spans="1:23" x14ac:dyDescent="0.25">
      <c r="A193" s="1" t="s">
        <v>23</v>
      </c>
      <c r="B193" s="1" t="s">
        <v>44</v>
      </c>
      <c r="C193" s="1" t="s">
        <v>39</v>
      </c>
      <c r="D193" s="1" t="s">
        <v>26</v>
      </c>
      <c r="E193" s="1" t="s">
        <v>55</v>
      </c>
      <c r="F193" s="1" t="s">
        <v>68</v>
      </c>
      <c r="G193" s="1" t="s">
        <v>251</v>
      </c>
      <c r="H193">
        <v>192</v>
      </c>
      <c r="I193" s="1" t="s">
        <v>30</v>
      </c>
      <c r="J193" s="1" t="s">
        <v>43</v>
      </c>
      <c r="K193" s="1" t="s">
        <v>32</v>
      </c>
      <c r="L193" s="1" t="s">
        <v>23</v>
      </c>
      <c r="M193">
        <v>23</v>
      </c>
      <c r="N193">
        <v>121754</v>
      </c>
      <c r="O193">
        <v>3</v>
      </c>
      <c r="P193">
        <v>2</v>
      </c>
      <c r="Q193">
        <v>3</v>
      </c>
      <c r="R193">
        <v>30</v>
      </c>
      <c r="S193">
        <v>2</v>
      </c>
      <c r="T193">
        <v>3</v>
      </c>
      <c r="U193">
        <v>3</v>
      </c>
      <c r="V193">
        <v>11</v>
      </c>
      <c r="W193">
        <v>3</v>
      </c>
    </row>
    <row r="194" spans="1:23" x14ac:dyDescent="0.25">
      <c r="A194" s="1" t="s">
        <v>23</v>
      </c>
      <c r="B194" s="1" t="s">
        <v>54</v>
      </c>
      <c r="C194" s="1" t="s">
        <v>65</v>
      </c>
      <c r="D194" s="1" t="s">
        <v>26</v>
      </c>
      <c r="E194" s="1" t="s">
        <v>46</v>
      </c>
      <c r="F194" s="1" t="s">
        <v>66</v>
      </c>
      <c r="G194" s="1" t="s">
        <v>252</v>
      </c>
      <c r="H194">
        <v>193</v>
      </c>
      <c r="I194" s="1" t="s">
        <v>30</v>
      </c>
      <c r="J194" s="1" t="s">
        <v>70</v>
      </c>
      <c r="K194" s="1" t="s">
        <v>38</v>
      </c>
      <c r="L194" s="1" t="s">
        <v>23</v>
      </c>
      <c r="M194">
        <v>41</v>
      </c>
      <c r="N194">
        <v>88626</v>
      </c>
      <c r="O194">
        <v>4</v>
      </c>
      <c r="P194">
        <v>1</v>
      </c>
      <c r="Q194">
        <v>12</v>
      </c>
      <c r="R194">
        <v>28</v>
      </c>
      <c r="S194">
        <v>1</v>
      </c>
      <c r="T194">
        <v>4</v>
      </c>
      <c r="U194">
        <v>4</v>
      </c>
      <c r="V194">
        <v>25</v>
      </c>
      <c r="W194">
        <v>5</v>
      </c>
    </row>
    <row r="195" spans="1:23" x14ac:dyDescent="0.25">
      <c r="A195" s="1" t="s">
        <v>33</v>
      </c>
      <c r="B195" s="1" t="s">
        <v>24</v>
      </c>
      <c r="C195" s="1" t="s">
        <v>65</v>
      </c>
      <c r="D195" s="1" t="s">
        <v>73</v>
      </c>
      <c r="E195" s="1" t="s">
        <v>51</v>
      </c>
      <c r="F195" s="1" t="s">
        <v>66</v>
      </c>
      <c r="G195" s="1" t="s">
        <v>253</v>
      </c>
      <c r="H195">
        <v>194</v>
      </c>
      <c r="I195" s="1" t="s">
        <v>36</v>
      </c>
      <c r="J195" s="1" t="s">
        <v>59</v>
      </c>
      <c r="K195" s="1" t="s">
        <v>38</v>
      </c>
      <c r="L195" s="1" t="s">
        <v>33</v>
      </c>
      <c r="M195">
        <v>54</v>
      </c>
      <c r="N195">
        <v>167074</v>
      </c>
      <c r="O195">
        <v>1</v>
      </c>
      <c r="P195">
        <v>2</v>
      </c>
      <c r="Q195">
        <v>12</v>
      </c>
      <c r="R195">
        <v>12</v>
      </c>
      <c r="S195">
        <v>6</v>
      </c>
      <c r="T195">
        <v>1</v>
      </c>
      <c r="U195">
        <v>3</v>
      </c>
      <c r="V195">
        <v>2</v>
      </c>
      <c r="W195">
        <v>4</v>
      </c>
    </row>
    <row r="196" spans="1:23" x14ac:dyDescent="0.25">
      <c r="A196" s="1" t="s">
        <v>23</v>
      </c>
      <c r="B196" s="1" t="s">
        <v>44</v>
      </c>
      <c r="C196" s="1" t="s">
        <v>34</v>
      </c>
      <c r="D196" s="1" t="s">
        <v>26</v>
      </c>
      <c r="E196" s="1" t="s">
        <v>55</v>
      </c>
      <c r="F196" s="1" t="s">
        <v>46</v>
      </c>
      <c r="G196" s="1" t="s">
        <v>254</v>
      </c>
      <c r="H196">
        <v>195</v>
      </c>
      <c r="I196" s="1" t="s">
        <v>36</v>
      </c>
      <c r="J196" s="1" t="s">
        <v>59</v>
      </c>
      <c r="K196" s="1" t="s">
        <v>38</v>
      </c>
      <c r="L196" s="1" t="s">
        <v>33</v>
      </c>
      <c r="M196">
        <v>22</v>
      </c>
      <c r="N196">
        <v>81422</v>
      </c>
      <c r="O196">
        <v>3</v>
      </c>
      <c r="P196">
        <v>4</v>
      </c>
      <c r="Q196">
        <v>38</v>
      </c>
      <c r="R196">
        <v>28</v>
      </c>
      <c r="S196">
        <v>1</v>
      </c>
      <c r="T196">
        <v>4</v>
      </c>
      <c r="U196">
        <v>4</v>
      </c>
      <c r="V196">
        <v>12</v>
      </c>
      <c r="W196">
        <v>2</v>
      </c>
    </row>
    <row r="197" spans="1:23" x14ac:dyDescent="0.25">
      <c r="A197" s="1" t="s">
        <v>23</v>
      </c>
      <c r="B197" s="1" t="s">
        <v>24</v>
      </c>
      <c r="C197" s="1" t="s">
        <v>34</v>
      </c>
      <c r="D197" s="1" t="s">
        <v>26</v>
      </c>
      <c r="E197" s="1" t="s">
        <v>46</v>
      </c>
      <c r="F197" s="1" t="s">
        <v>46</v>
      </c>
      <c r="G197" s="1" t="s">
        <v>255</v>
      </c>
      <c r="H197">
        <v>196</v>
      </c>
      <c r="I197" s="1" t="s">
        <v>30</v>
      </c>
      <c r="J197" s="1" t="s">
        <v>41</v>
      </c>
      <c r="K197" s="1" t="s">
        <v>50</v>
      </c>
      <c r="L197" s="1" t="s">
        <v>33</v>
      </c>
      <c r="M197">
        <v>57</v>
      </c>
      <c r="N197">
        <v>74182</v>
      </c>
      <c r="O197">
        <v>2</v>
      </c>
      <c r="P197">
        <v>2</v>
      </c>
      <c r="Q197">
        <v>13</v>
      </c>
      <c r="R197">
        <v>17</v>
      </c>
      <c r="S197">
        <v>5</v>
      </c>
      <c r="T197">
        <v>4</v>
      </c>
      <c r="U197">
        <v>3</v>
      </c>
      <c r="V197">
        <v>28</v>
      </c>
      <c r="W197">
        <v>1</v>
      </c>
    </row>
    <row r="198" spans="1:23" x14ac:dyDescent="0.25">
      <c r="A198" s="1" t="s">
        <v>23</v>
      </c>
      <c r="B198" s="1" t="s">
        <v>54</v>
      </c>
      <c r="C198" s="1" t="s">
        <v>34</v>
      </c>
      <c r="D198" s="1" t="s">
        <v>26</v>
      </c>
      <c r="E198" s="1" t="s">
        <v>55</v>
      </c>
      <c r="F198" s="1" t="s">
        <v>66</v>
      </c>
      <c r="G198" s="1" t="s">
        <v>256</v>
      </c>
      <c r="H198">
        <v>197</v>
      </c>
      <c r="I198" s="1" t="s">
        <v>30</v>
      </c>
      <c r="J198" s="1" t="s">
        <v>76</v>
      </c>
      <c r="K198" s="1" t="s">
        <v>32</v>
      </c>
      <c r="L198" s="1" t="s">
        <v>23</v>
      </c>
      <c r="M198">
        <v>38</v>
      </c>
      <c r="N198">
        <v>129098</v>
      </c>
      <c r="O198">
        <v>4</v>
      </c>
      <c r="P198">
        <v>3</v>
      </c>
      <c r="Q198">
        <v>29</v>
      </c>
      <c r="R198">
        <v>16</v>
      </c>
      <c r="S198">
        <v>1</v>
      </c>
      <c r="T198">
        <v>4</v>
      </c>
      <c r="U198">
        <v>4</v>
      </c>
      <c r="V198">
        <v>22</v>
      </c>
      <c r="W198">
        <v>5</v>
      </c>
    </row>
    <row r="199" spans="1:23" x14ac:dyDescent="0.25">
      <c r="A199" s="1" t="s">
        <v>23</v>
      </c>
      <c r="B199" s="1" t="s">
        <v>24</v>
      </c>
      <c r="C199" s="1" t="s">
        <v>34</v>
      </c>
      <c r="D199" s="1" t="s">
        <v>26</v>
      </c>
      <c r="E199" s="1" t="s">
        <v>60</v>
      </c>
      <c r="F199" s="1" t="s">
        <v>41</v>
      </c>
      <c r="G199" s="1" t="s">
        <v>257</v>
      </c>
      <c r="H199">
        <v>198</v>
      </c>
      <c r="I199" s="1" t="s">
        <v>36</v>
      </c>
      <c r="J199" s="1" t="s">
        <v>59</v>
      </c>
      <c r="K199" s="1" t="s">
        <v>32</v>
      </c>
      <c r="L199" s="1" t="s">
        <v>23</v>
      </c>
      <c r="M199">
        <v>40</v>
      </c>
      <c r="N199">
        <v>46338</v>
      </c>
      <c r="O199">
        <v>4</v>
      </c>
      <c r="P199">
        <v>1</v>
      </c>
      <c r="Q199">
        <v>21</v>
      </c>
      <c r="R199">
        <v>17</v>
      </c>
      <c r="S199">
        <v>5</v>
      </c>
      <c r="T199">
        <v>3</v>
      </c>
      <c r="U199">
        <v>4</v>
      </c>
      <c r="V199">
        <v>9</v>
      </c>
      <c r="W199">
        <v>3</v>
      </c>
    </row>
    <row r="200" spans="1:23" x14ac:dyDescent="0.25">
      <c r="A200" s="1" t="s">
        <v>23</v>
      </c>
      <c r="B200" s="1" t="s">
        <v>24</v>
      </c>
      <c r="C200" s="1" t="s">
        <v>39</v>
      </c>
      <c r="D200" s="1" t="s">
        <v>26</v>
      </c>
      <c r="E200" s="1" t="s">
        <v>55</v>
      </c>
      <c r="F200" s="1" t="s">
        <v>41</v>
      </c>
      <c r="G200" s="1" t="s">
        <v>258</v>
      </c>
      <c r="H200">
        <v>199</v>
      </c>
      <c r="I200" s="1" t="s">
        <v>36</v>
      </c>
      <c r="J200" s="1" t="s">
        <v>37</v>
      </c>
      <c r="K200" s="1" t="s">
        <v>32</v>
      </c>
      <c r="L200" s="1" t="s">
        <v>33</v>
      </c>
      <c r="M200">
        <v>22</v>
      </c>
      <c r="N200">
        <v>148383</v>
      </c>
      <c r="O200">
        <v>3</v>
      </c>
      <c r="P200">
        <v>3</v>
      </c>
      <c r="Q200">
        <v>26</v>
      </c>
      <c r="R200">
        <v>25</v>
      </c>
      <c r="S200">
        <v>3</v>
      </c>
      <c r="T200">
        <v>1</v>
      </c>
      <c r="U200">
        <v>3</v>
      </c>
      <c r="V200">
        <v>11</v>
      </c>
      <c r="W200">
        <v>2</v>
      </c>
    </row>
    <row r="201" spans="1:23" x14ac:dyDescent="0.25">
      <c r="A201" s="1" t="s">
        <v>23</v>
      </c>
      <c r="B201" s="1" t="s">
        <v>54</v>
      </c>
      <c r="C201" s="1" t="s">
        <v>39</v>
      </c>
      <c r="D201" s="1" t="s">
        <v>26</v>
      </c>
      <c r="E201" s="1" t="s">
        <v>40</v>
      </c>
      <c r="F201" s="1" t="s">
        <v>46</v>
      </c>
      <c r="G201" s="1" t="s">
        <v>259</v>
      </c>
      <c r="H201">
        <v>200</v>
      </c>
      <c r="I201" s="1" t="s">
        <v>36</v>
      </c>
      <c r="J201" s="1" t="s">
        <v>70</v>
      </c>
      <c r="K201" s="1" t="s">
        <v>32</v>
      </c>
      <c r="L201" s="1" t="s">
        <v>33</v>
      </c>
      <c r="M201">
        <v>39</v>
      </c>
      <c r="N201">
        <v>43586</v>
      </c>
      <c r="O201">
        <v>4</v>
      </c>
      <c r="P201">
        <v>2</v>
      </c>
      <c r="Q201">
        <v>16</v>
      </c>
      <c r="R201">
        <v>35</v>
      </c>
      <c r="S201">
        <v>6</v>
      </c>
      <c r="T201">
        <v>2</v>
      </c>
      <c r="U201">
        <v>4</v>
      </c>
      <c r="V201">
        <v>21</v>
      </c>
      <c r="W201">
        <v>1</v>
      </c>
    </row>
    <row r="202" spans="1:23" x14ac:dyDescent="0.25">
      <c r="A202" s="1" t="s">
        <v>23</v>
      </c>
      <c r="B202" s="1" t="s">
        <v>44</v>
      </c>
      <c r="C202" s="1" t="s">
        <v>34</v>
      </c>
      <c r="D202" s="1" t="s">
        <v>26</v>
      </c>
      <c r="E202" s="1" t="s">
        <v>27</v>
      </c>
      <c r="F202" s="1" t="s">
        <v>46</v>
      </c>
      <c r="G202" s="1" t="s">
        <v>260</v>
      </c>
      <c r="H202">
        <v>201</v>
      </c>
      <c r="I202" s="1" t="s">
        <v>36</v>
      </c>
      <c r="J202" s="1" t="s">
        <v>76</v>
      </c>
      <c r="K202" s="1" t="s">
        <v>32</v>
      </c>
      <c r="L202" s="1" t="s">
        <v>23</v>
      </c>
      <c r="M202">
        <v>50</v>
      </c>
      <c r="N202">
        <v>48875</v>
      </c>
      <c r="O202">
        <v>4</v>
      </c>
      <c r="P202">
        <v>1</v>
      </c>
      <c r="Q202">
        <v>40</v>
      </c>
      <c r="R202">
        <v>37</v>
      </c>
      <c r="S202">
        <v>4</v>
      </c>
      <c r="T202">
        <v>1</v>
      </c>
      <c r="U202">
        <v>4</v>
      </c>
      <c r="V202">
        <v>29</v>
      </c>
      <c r="W202">
        <v>2</v>
      </c>
    </row>
    <row r="203" spans="1:23" x14ac:dyDescent="0.25">
      <c r="A203" s="1" t="s">
        <v>23</v>
      </c>
      <c r="B203" s="1" t="s">
        <v>54</v>
      </c>
      <c r="C203" s="1" t="s">
        <v>65</v>
      </c>
      <c r="D203" s="1" t="s">
        <v>26</v>
      </c>
      <c r="E203" s="1" t="s">
        <v>40</v>
      </c>
      <c r="F203" s="1" t="s">
        <v>46</v>
      </c>
      <c r="G203" s="1" t="s">
        <v>261</v>
      </c>
      <c r="H203">
        <v>202</v>
      </c>
      <c r="I203" s="1" t="s">
        <v>36</v>
      </c>
      <c r="J203" s="1" t="s">
        <v>64</v>
      </c>
      <c r="K203" s="1" t="s">
        <v>50</v>
      </c>
      <c r="L203" s="1" t="s">
        <v>33</v>
      </c>
      <c r="M203">
        <v>33</v>
      </c>
      <c r="N203">
        <v>107828</v>
      </c>
      <c r="O203">
        <v>4</v>
      </c>
      <c r="P203">
        <v>4</v>
      </c>
      <c r="Q203">
        <v>9</v>
      </c>
      <c r="R203">
        <v>20</v>
      </c>
      <c r="S203">
        <v>6</v>
      </c>
      <c r="T203">
        <v>2</v>
      </c>
      <c r="U203">
        <v>3</v>
      </c>
      <c r="V203">
        <v>16</v>
      </c>
      <c r="W203">
        <v>3</v>
      </c>
    </row>
    <row r="204" spans="1:23" x14ac:dyDescent="0.25">
      <c r="A204" s="1" t="s">
        <v>23</v>
      </c>
      <c r="B204" s="1" t="s">
        <v>24</v>
      </c>
      <c r="C204" s="1" t="s">
        <v>34</v>
      </c>
      <c r="D204" s="1" t="s">
        <v>26</v>
      </c>
      <c r="E204" s="1" t="s">
        <v>46</v>
      </c>
      <c r="F204" s="1" t="s">
        <v>66</v>
      </c>
      <c r="G204" s="1" t="s">
        <v>262</v>
      </c>
      <c r="H204">
        <v>203</v>
      </c>
      <c r="I204" s="1" t="s">
        <v>36</v>
      </c>
      <c r="J204" s="1" t="s">
        <v>76</v>
      </c>
      <c r="K204" s="1" t="s">
        <v>50</v>
      </c>
      <c r="L204" s="1" t="s">
        <v>33</v>
      </c>
      <c r="M204">
        <v>57</v>
      </c>
      <c r="N204">
        <v>59532</v>
      </c>
      <c r="O204">
        <v>4</v>
      </c>
      <c r="P204">
        <v>1</v>
      </c>
      <c r="Q204">
        <v>8</v>
      </c>
      <c r="R204">
        <v>39</v>
      </c>
      <c r="S204">
        <v>3</v>
      </c>
      <c r="T204">
        <v>4</v>
      </c>
      <c r="U204">
        <v>4</v>
      </c>
      <c r="V204">
        <v>14</v>
      </c>
      <c r="W204">
        <v>4</v>
      </c>
    </row>
    <row r="205" spans="1:23" x14ac:dyDescent="0.25">
      <c r="A205" s="1" t="s">
        <v>23</v>
      </c>
      <c r="B205" s="1" t="s">
        <v>54</v>
      </c>
      <c r="C205" s="1" t="s">
        <v>25</v>
      </c>
      <c r="D205" s="1" t="s">
        <v>26</v>
      </c>
      <c r="E205" s="1" t="s">
        <v>55</v>
      </c>
      <c r="F205" s="1" t="s">
        <v>46</v>
      </c>
      <c r="G205" s="1" t="s">
        <v>263</v>
      </c>
      <c r="H205">
        <v>204</v>
      </c>
      <c r="I205" s="1" t="s">
        <v>30</v>
      </c>
      <c r="J205" s="1" t="s">
        <v>37</v>
      </c>
      <c r="K205" s="1" t="s">
        <v>32</v>
      </c>
      <c r="L205" s="1" t="s">
        <v>33</v>
      </c>
      <c r="M205">
        <v>22</v>
      </c>
      <c r="N205">
        <v>19081</v>
      </c>
      <c r="O205">
        <v>2</v>
      </c>
      <c r="P205">
        <v>2</v>
      </c>
      <c r="Q205">
        <v>22</v>
      </c>
      <c r="R205">
        <v>19</v>
      </c>
      <c r="S205">
        <v>1</v>
      </c>
      <c r="T205">
        <v>1</v>
      </c>
      <c r="U205">
        <v>4</v>
      </c>
      <c r="V205">
        <v>17</v>
      </c>
      <c r="W205">
        <v>5</v>
      </c>
    </row>
    <row r="206" spans="1:23" x14ac:dyDescent="0.25">
      <c r="A206" s="1" t="s">
        <v>23</v>
      </c>
      <c r="B206" s="1" t="s">
        <v>44</v>
      </c>
      <c r="C206" s="1" t="s">
        <v>25</v>
      </c>
      <c r="D206" s="1" t="s">
        <v>26</v>
      </c>
      <c r="E206" s="1" t="s">
        <v>60</v>
      </c>
      <c r="F206" s="1" t="s">
        <v>46</v>
      </c>
      <c r="G206" s="1" t="s">
        <v>264</v>
      </c>
      <c r="H206">
        <v>205</v>
      </c>
      <c r="I206" s="1" t="s">
        <v>36</v>
      </c>
      <c r="J206" s="1" t="s">
        <v>59</v>
      </c>
      <c r="K206" s="1" t="s">
        <v>32</v>
      </c>
      <c r="L206" s="1" t="s">
        <v>23</v>
      </c>
      <c r="M206">
        <v>48</v>
      </c>
      <c r="N206">
        <v>53072</v>
      </c>
      <c r="O206">
        <v>3</v>
      </c>
      <c r="P206">
        <v>4</v>
      </c>
      <c r="Q206">
        <v>22</v>
      </c>
      <c r="R206">
        <v>12</v>
      </c>
      <c r="S206">
        <v>1</v>
      </c>
      <c r="T206">
        <v>4</v>
      </c>
      <c r="U206">
        <v>3</v>
      </c>
      <c r="V206">
        <v>8</v>
      </c>
      <c r="W206">
        <v>2</v>
      </c>
    </row>
    <row r="207" spans="1:23" x14ac:dyDescent="0.25">
      <c r="A207" s="1" t="s">
        <v>23</v>
      </c>
      <c r="B207" s="1" t="s">
        <v>24</v>
      </c>
      <c r="C207" s="1" t="s">
        <v>34</v>
      </c>
      <c r="D207" s="1" t="s">
        <v>26</v>
      </c>
      <c r="E207" s="1" t="s">
        <v>46</v>
      </c>
      <c r="F207" s="1" t="s">
        <v>41</v>
      </c>
      <c r="G207" s="1" t="s">
        <v>265</v>
      </c>
      <c r="H207">
        <v>206</v>
      </c>
      <c r="I207" s="1" t="s">
        <v>30</v>
      </c>
      <c r="J207" s="1" t="s">
        <v>31</v>
      </c>
      <c r="K207" s="1" t="s">
        <v>38</v>
      </c>
      <c r="L207" s="1" t="s">
        <v>33</v>
      </c>
      <c r="M207">
        <v>45</v>
      </c>
      <c r="N207">
        <v>85053</v>
      </c>
      <c r="O207">
        <v>1</v>
      </c>
      <c r="P207">
        <v>1</v>
      </c>
      <c r="Q207">
        <v>6</v>
      </c>
      <c r="R207">
        <v>41</v>
      </c>
      <c r="S207">
        <v>6</v>
      </c>
      <c r="T207">
        <v>1</v>
      </c>
      <c r="U207">
        <v>3</v>
      </c>
      <c r="V207">
        <v>23</v>
      </c>
      <c r="W207">
        <v>1</v>
      </c>
    </row>
    <row r="208" spans="1:23" x14ac:dyDescent="0.25">
      <c r="A208" s="1" t="s">
        <v>23</v>
      </c>
      <c r="B208" s="1" t="s">
        <v>44</v>
      </c>
      <c r="C208" s="1" t="s">
        <v>34</v>
      </c>
      <c r="D208" s="1" t="s">
        <v>26</v>
      </c>
      <c r="E208" s="1" t="s">
        <v>51</v>
      </c>
      <c r="F208" s="1" t="s">
        <v>68</v>
      </c>
      <c r="G208" s="1" t="s">
        <v>266</v>
      </c>
      <c r="H208">
        <v>207</v>
      </c>
      <c r="I208" s="1" t="s">
        <v>30</v>
      </c>
      <c r="J208" s="1" t="s">
        <v>48</v>
      </c>
      <c r="K208" s="1" t="s">
        <v>32</v>
      </c>
      <c r="L208" s="1" t="s">
        <v>33</v>
      </c>
      <c r="M208">
        <v>40</v>
      </c>
      <c r="N208">
        <v>128328</v>
      </c>
      <c r="O208">
        <v>1</v>
      </c>
      <c r="P208">
        <v>3</v>
      </c>
      <c r="Q208">
        <v>39</v>
      </c>
      <c r="R208">
        <v>38</v>
      </c>
      <c r="S208">
        <v>5</v>
      </c>
      <c r="T208">
        <v>2</v>
      </c>
      <c r="U208">
        <v>4</v>
      </c>
      <c r="V208">
        <v>27</v>
      </c>
      <c r="W208">
        <v>1</v>
      </c>
    </row>
    <row r="209" spans="1:23" x14ac:dyDescent="0.25">
      <c r="A209" s="1" t="s">
        <v>23</v>
      </c>
      <c r="B209" s="1" t="s">
        <v>24</v>
      </c>
      <c r="C209" s="1" t="s">
        <v>39</v>
      </c>
      <c r="D209" s="1" t="s">
        <v>26</v>
      </c>
      <c r="E209" s="1" t="s">
        <v>27</v>
      </c>
      <c r="F209" s="1" t="s">
        <v>66</v>
      </c>
      <c r="G209" s="1" t="s">
        <v>267</v>
      </c>
      <c r="H209">
        <v>208</v>
      </c>
      <c r="I209" s="1" t="s">
        <v>36</v>
      </c>
      <c r="J209" s="1" t="s">
        <v>48</v>
      </c>
      <c r="K209" s="1" t="s">
        <v>32</v>
      </c>
      <c r="L209" s="1" t="s">
        <v>33</v>
      </c>
      <c r="M209">
        <v>37</v>
      </c>
      <c r="N209">
        <v>155139</v>
      </c>
      <c r="O209">
        <v>2</v>
      </c>
      <c r="P209">
        <v>3</v>
      </c>
      <c r="Q209">
        <v>26</v>
      </c>
      <c r="R209">
        <v>18</v>
      </c>
      <c r="S209">
        <v>1</v>
      </c>
      <c r="T209">
        <v>1</v>
      </c>
      <c r="U209">
        <v>4</v>
      </c>
      <c r="V209">
        <v>30</v>
      </c>
      <c r="W209">
        <v>2</v>
      </c>
    </row>
    <row r="210" spans="1:23" x14ac:dyDescent="0.25">
      <c r="A210" s="1" t="s">
        <v>23</v>
      </c>
      <c r="B210" s="1" t="s">
        <v>24</v>
      </c>
      <c r="C210" s="1" t="s">
        <v>39</v>
      </c>
      <c r="D210" s="1" t="s">
        <v>26</v>
      </c>
      <c r="E210" s="1" t="s">
        <v>55</v>
      </c>
      <c r="F210" s="1" t="s">
        <v>66</v>
      </c>
      <c r="G210" s="1" t="s">
        <v>268</v>
      </c>
      <c r="H210">
        <v>209</v>
      </c>
      <c r="I210" s="1" t="s">
        <v>30</v>
      </c>
      <c r="J210" s="1" t="s">
        <v>31</v>
      </c>
      <c r="K210" s="1" t="s">
        <v>32</v>
      </c>
      <c r="L210" s="1" t="s">
        <v>23</v>
      </c>
      <c r="M210">
        <v>30</v>
      </c>
      <c r="N210">
        <v>41614</v>
      </c>
      <c r="O210">
        <v>1</v>
      </c>
      <c r="P210">
        <v>1</v>
      </c>
      <c r="Q210">
        <v>16</v>
      </c>
      <c r="R210">
        <v>41</v>
      </c>
      <c r="S210">
        <v>1</v>
      </c>
      <c r="T210">
        <v>4</v>
      </c>
      <c r="U210">
        <v>4</v>
      </c>
      <c r="V210">
        <v>9</v>
      </c>
      <c r="W210">
        <v>4</v>
      </c>
    </row>
    <row r="211" spans="1:23" x14ac:dyDescent="0.25">
      <c r="A211" s="1" t="s">
        <v>23</v>
      </c>
      <c r="B211" s="1" t="s">
        <v>44</v>
      </c>
      <c r="C211" s="1" t="s">
        <v>65</v>
      </c>
      <c r="D211" s="1" t="s">
        <v>26</v>
      </c>
      <c r="E211" s="1" t="s">
        <v>60</v>
      </c>
      <c r="F211" s="1" t="s">
        <v>46</v>
      </c>
      <c r="G211" s="1" t="s">
        <v>269</v>
      </c>
      <c r="H211">
        <v>210</v>
      </c>
      <c r="I211" s="1" t="s">
        <v>36</v>
      </c>
      <c r="J211" s="1" t="s">
        <v>41</v>
      </c>
      <c r="K211" s="1" t="s">
        <v>32</v>
      </c>
      <c r="L211" s="1" t="s">
        <v>33</v>
      </c>
      <c r="M211">
        <v>27</v>
      </c>
      <c r="N211">
        <v>30029</v>
      </c>
      <c r="O211">
        <v>1</v>
      </c>
      <c r="P211">
        <v>2</v>
      </c>
      <c r="Q211">
        <v>10</v>
      </c>
      <c r="R211">
        <v>21</v>
      </c>
      <c r="S211">
        <v>2</v>
      </c>
      <c r="T211">
        <v>4</v>
      </c>
      <c r="U211">
        <v>4</v>
      </c>
      <c r="V211">
        <v>29</v>
      </c>
      <c r="W211">
        <v>1</v>
      </c>
    </row>
    <row r="212" spans="1:23" x14ac:dyDescent="0.25">
      <c r="A212" s="1" t="s">
        <v>23</v>
      </c>
      <c r="B212" s="1" t="s">
        <v>44</v>
      </c>
      <c r="C212" s="1" t="s">
        <v>34</v>
      </c>
      <c r="D212" s="1" t="s">
        <v>26</v>
      </c>
      <c r="E212" s="1" t="s">
        <v>60</v>
      </c>
      <c r="F212" s="1" t="s">
        <v>68</v>
      </c>
      <c r="G212" s="1" t="s">
        <v>270</v>
      </c>
      <c r="H212">
        <v>211</v>
      </c>
      <c r="I212" s="1" t="s">
        <v>36</v>
      </c>
      <c r="J212" s="1" t="s">
        <v>76</v>
      </c>
      <c r="K212" s="1" t="s">
        <v>38</v>
      </c>
      <c r="L212" s="1" t="s">
        <v>23</v>
      </c>
      <c r="M212">
        <v>47</v>
      </c>
      <c r="N212">
        <v>61720</v>
      </c>
      <c r="O212">
        <v>1</v>
      </c>
      <c r="P212">
        <v>2</v>
      </c>
      <c r="Q212">
        <v>3</v>
      </c>
      <c r="R212">
        <v>10</v>
      </c>
      <c r="S212">
        <v>0</v>
      </c>
      <c r="T212">
        <v>4</v>
      </c>
      <c r="U212">
        <v>4</v>
      </c>
      <c r="V212">
        <v>26</v>
      </c>
      <c r="W212">
        <v>5</v>
      </c>
    </row>
    <row r="213" spans="1:23" x14ac:dyDescent="0.25">
      <c r="A213" s="1" t="s">
        <v>23</v>
      </c>
      <c r="B213" s="1" t="s">
        <v>44</v>
      </c>
      <c r="C213" s="1" t="s">
        <v>34</v>
      </c>
      <c r="D213" s="1" t="s">
        <v>26</v>
      </c>
      <c r="E213" s="1" t="s">
        <v>40</v>
      </c>
      <c r="F213" s="1" t="s">
        <v>41</v>
      </c>
      <c r="G213" s="1" t="s">
        <v>271</v>
      </c>
      <c r="H213">
        <v>212</v>
      </c>
      <c r="I213" s="1" t="s">
        <v>30</v>
      </c>
      <c r="J213" s="1" t="s">
        <v>70</v>
      </c>
      <c r="K213" s="1" t="s">
        <v>38</v>
      </c>
      <c r="L213" s="1" t="s">
        <v>23</v>
      </c>
      <c r="M213">
        <v>28</v>
      </c>
      <c r="N213">
        <v>125815</v>
      </c>
      <c r="O213">
        <v>4</v>
      </c>
      <c r="P213">
        <v>1</v>
      </c>
      <c r="Q213">
        <v>4</v>
      </c>
      <c r="R213">
        <v>16</v>
      </c>
      <c r="S213">
        <v>5</v>
      </c>
      <c r="T213">
        <v>3</v>
      </c>
      <c r="U213">
        <v>3</v>
      </c>
      <c r="V213">
        <v>23</v>
      </c>
      <c r="W213">
        <v>5</v>
      </c>
    </row>
    <row r="214" spans="1:23" x14ac:dyDescent="0.25">
      <c r="A214" s="1" t="s">
        <v>23</v>
      </c>
      <c r="B214" s="1" t="s">
        <v>24</v>
      </c>
      <c r="C214" s="1" t="s">
        <v>39</v>
      </c>
      <c r="D214" s="1" t="s">
        <v>26</v>
      </c>
      <c r="E214" s="1" t="s">
        <v>51</v>
      </c>
      <c r="F214" s="1" t="s">
        <v>52</v>
      </c>
      <c r="G214" s="1" t="s">
        <v>272</v>
      </c>
      <c r="H214">
        <v>213</v>
      </c>
      <c r="I214" s="1" t="s">
        <v>36</v>
      </c>
      <c r="J214" s="1" t="s">
        <v>59</v>
      </c>
      <c r="K214" s="1" t="s">
        <v>32</v>
      </c>
      <c r="L214" s="1" t="s">
        <v>33</v>
      </c>
      <c r="M214">
        <v>48</v>
      </c>
      <c r="N214">
        <v>83162</v>
      </c>
      <c r="O214">
        <v>4</v>
      </c>
      <c r="P214">
        <v>3</v>
      </c>
      <c r="Q214">
        <v>24</v>
      </c>
      <c r="R214">
        <v>9</v>
      </c>
      <c r="S214">
        <v>6</v>
      </c>
      <c r="T214">
        <v>1</v>
      </c>
      <c r="U214">
        <v>3</v>
      </c>
      <c r="V214">
        <v>21</v>
      </c>
      <c r="W214">
        <v>2</v>
      </c>
    </row>
    <row r="215" spans="1:23" x14ac:dyDescent="0.25">
      <c r="A215" s="1" t="s">
        <v>23</v>
      </c>
      <c r="B215" s="1" t="s">
        <v>24</v>
      </c>
      <c r="C215" s="1" t="s">
        <v>39</v>
      </c>
      <c r="D215" s="1" t="s">
        <v>26</v>
      </c>
      <c r="E215" s="1" t="s">
        <v>40</v>
      </c>
      <c r="F215" s="1" t="s">
        <v>66</v>
      </c>
      <c r="G215" s="1" t="s">
        <v>273</v>
      </c>
      <c r="H215">
        <v>214</v>
      </c>
      <c r="I215" s="1" t="s">
        <v>36</v>
      </c>
      <c r="J215" s="1" t="s">
        <v>37</v>
      </c>
      <c r="K215" s="1" t="s">
        <v>50</v>
      </c>
      <c r="L215" s="1" t="s">
        <v>23</v>
      </c>
      <c r="M215">
        <v>38</v>
      </c>
      <c r="N215">
        <v>31199</v>
      </c>
      <c r="O215">
        <v>2</v>
      </c>
      <c r="P215">
        <v>4</v>
      </c>
      <c r="Q215">
        <v>25</v>
      </c>
      <c r="R215">
        <v>15</v>
      </c>
      <c r="S215">
        <v>0</v>
      </c>
      <c r="T215">
        <v>4</v>
      </c>
      <c r="U215">
        <v>4</v>
      </c>
      <c r="V215">
        <v>26</v>
      </c>
      <c r="W215">
        <v>5</v>
      </c>
    </row>
    <row r="216" spans="1:23" x14ac:dyDescent="0.25">
      <c r="A216" s="1" t="s">
        <v>23</v>
      </c>
      <c r="B216" s="1" t="s">
        <v>44</v>
      </c>
      <c r="C216" s="1" t="s">
        <v>65</v>
      </c>
      <c r="D216" s="1" t="s">
        <v>26</v>
      </c>
      <c r="E216" s="1" t="s">
        <v>40</v>
      </c>
      <c r="F216" s="1" t="s">
        <v>66</v>
      </c>
      <c r="G216" s="1" t="s">
        <v>274</v>
      </c>
      <c r="H216">
        <v>215</v>
      </c>
      <c r="I216" s="1" t="s">
        <v>36</v>
      </c>
      <c r="J216" s="1" t="s">
        <v>64</v>
      </c>
      <c r="K216" s="1" t="s">
        <v>50</v>
      </c>
      <c r="L216" s="1" t="s">
        <v>23</v>
      </c>
      <c r="M216">
        <v>47</v>
      </c>
      <c r="N216">
        <v>27393</v>
      </c>
      <c r="O216">
        <v>1</v>
      </c>
      <c r="P216">
        <v>1</v>
      </c>
      <c r="Q216">
        <v>38</v>
      </c>
      <c r="R216">
        <v>39</v>
      </c>
      <c r="S216">
        <v>5</v>
      </c>
      <c r="T216">
        <v>3</v>
      </c>
      <c r="U216">
        <v>3</v>
      </c>
      <c r="V216">
        <v>21</v>
      </c>
      <c r="W216">
        <v>4</v>
      </c>
    </row>
    <row r="217" spans="1:23" x14ac:dyDescent="0.25">
      <c r="A217" s="1" t="s">
        <v>33</v>
      </c>
      <c r="B217" s="1" t="s">
        <v>24</v>
      </c>
      <c r="C217" s="1" t="s">
        <v>34</v>
      </c>
      <c r="D217" s="1" t="s">
        <v>73</v>
      </c>
      <c r="E217" s="1" t="s">
        <v>60</v>
      </c>
      <c r="F217" s="1" t="s">
        <v>68</v>
      </c>
      <c r="G217" s="1" t="s">
        <v>275</v>
      </c>
      <c r="H217">
        <v>216</v>
      </c>
      <c r="I217" s="1" t="s">
        <v>36</v>
      </c>
      <c r="J217" s="1" t="s">
        <v>59</v>
      </c>
      <c r="K217" s="1" t="s">
        <v>32</v>
      </c>
      <c r="L217" s="1" t="s">
        <v>23</v>
      </c>
      <c r="M217">
        <v>44</v>
      </c>
      <c r="N217">
        <v>136628</v>
      </c>
      <c r="O217">
        <v>1</v>
      </c>
      <c r="P217">
        <v>1</v>
      </c>
      <c r="Q217">
        <v>14</v>
      </c>
      <c r="R217">
        <v>0</v>
      </c>
      <c r="S217">
        <v>2</v>
      </c>
      <c r="T217">
        <v>3</v>
      </c>
      <c r="U217">
        <v>4</v>
      </c>
      <c r="V217">
        <v>18</v>
      </c>
      <c r="W217">
        <v>5</v>
      </c>
    </row>
    <row r="218" spans="1:23" x14ac:dyDescent="0.25">
      <c r="A218" s="1" t="s">
        <v>23</v>
      </c>
      <c r="B218" s="1" t="s">
        <v>44</v>
      </c>
      <c r="C218" s="1" t="s">
        <v>34</v>
      </c>
      <c r="D218" s="1" t="s">
        <v>26</v>
      </c>
      <c r="E218" s="1" t="s">
        <v>55</v>
      </c>
      <c r="F218" s="1" t="s">
        <v>28</v>
      </c>
      <c r="G218" s="1" t="s">
        <v>276</v>
      </c>
      <c r="H218">
        <v>217</v>
      </c>
      <c r="I218" s="1" t="s">
        <v>36</v>
      </c>
      <c r="J218" s="1" t="s">
        <v>31</v>
      </c>
      <c r="K218" s="1" t="s">
        <v>38</v>
      </c>
      <c r="L218" s="1" t="s">
        <v>33</v>
      </c>
      <c r="M218">
        <v>33</v>
      </c>
      <c r="N218">
        <v>49652</v>
      </c>
      <c r="O218">
        <v>4</v>
      </c>
      <c r="P218">
        <v>2</v>
      </c>
      <c r="Q218">
        <v>29</v>
      </c>
      <c r="R218">
        <v>12</v>
      </c>
      <c r="S218">
        <v>5</v>
      </c>
      <c r="T218">
        <v>3</v>
      </c>
      <c r="U218">
        <v>3</v>
      </c>
      <c r="V218">
        <v>25</v>
      </c>
      <c r="W218">
        <v>4</v>
      </c>
    </row>
    <row r="219" spans="1:23" x14ac:dyDescent="0.25">
      <c r="A219" s="1" t="s">
        <v>23</v>
      </c>
      <c r="B219" s="1" t="s">
        <v>54</v>
      </c>
      <c r="C219" s="1" t="s">
        <v>39</v>
      </c>
      <c r="D219" s="1" t="s">
        <v>26</v>
      </c>
      <c r="E219" s="1" t="s">
        <v>46</v>
      </c>
      <c r="F219" s="1" t="s">
        <v>66</v>
      </c>
      <c r="G219" s="1" t="s">
        <v>277</v>
      </c>
      <c r="H219">
        <v>218</v>
      </c>
      <c r="I219" s="1" t="s">
        <v>36</v>
      </c>
      <c r="J219" s="1" t="s">
        <v>86</v>
      </c>
      <c r="K219" s="1" t="s">
        <v>32</v>
      </c>
      <c r="L219" s="1" t="s">
        <v>33</v>
      </c>
      <c r="M219">
        <v>52</v>
      </c>
      <c r="N219">
        <v>19137</v>
      </c>
      <c r="O219">
        <v>1</v>
      </c>
      <c r="P219">
        <v>4</v>
      </c>
      <c r="Q219">
        <v>37</v>
      </c>
      <c r="R219">
        <v>30</v>
      </c>
      <c r="S219">
        <v>4</v>
      </c>
      <c r="T219">
        <v>2</v>
      </c>
      <c r="U219">
        <v>3</v>
      </c>
      <c r="V219">
        <v>24</v>
      </c>
      <c r="W219">
        <v>2</v>
      </c>
    </row>
    <row r="220" spans="1:23" x14ac:dyDescent="0.25">
      <c r="A220" s="1" t="s">
        <v>23</v>
      </c>
      <c r="B220" s="1" t="s">
        <v>44</v>
      </c>
      <c r="C220" s="1" t="s">
        <v>39</v>
      </c>
      <c r="D220" s="1" t="s">
        <v>26</v>
      </c>
      <c r="E220" s="1" t="s">
        <v>51</v>
      </c>
      <c r="F220" s="1" t="s">
        <v>41</v>
      </c>
      <c r="G220" s="1" t="s">
        <v>278</v>
      </c>
      <c r="H220">
        <v>219</v>
      </c>
      <c r="I220" s="1" t="s">
        <v>36</v>
      </c>
      <c r="J220" s="1" t="s">
        <v>41</v>
      </c>
      <c r="K220" s="1" t="s">
        <v>32</v>
      </c>
      <c r="L220" s="1" t="s">
        <v>33</v>
      </c>
      <c r="M220">
        <v>38</v>
      </c>
      <c r="N220">
        <v>122299</v>
      </c>
      <c r="O220">
        <v>3</v>
      </c>
      <c r="P220">
        <v>3</v>
      </c>
      <c r="Q220">
        <v>28</v>
      </c>
      <c r="R220">
        <v>8</v>
      </c>
      <c r="S220">
        <v>1</v>
      </c>
      <c r="T220">
        <v>4</v>
      </c>
      <c r="U220">
        <v>4</v>
      </c>
      <c r="V220">
        <v>27</v>
      </c>
      <c r="W220">
        <v>5</v>
      </c>
    </row>
    <row r="221" spans="1:23" x14ac:dyDescent="0.25">
      <c r="A221" s="1" t="s">
        <v>33</v>
      </c>
      <c r="B221" s="1" t="s">
        <v>54</v>
      </c>
      <c r="C221" s="1" t="s">
        <v>39</v>
      </c>
      <c r="D221" s="1" t="s">
        <v>73</v>
      </c>
      <c r="E221" s="1" t="s">
        <v>51</v>
      </c>
      <c r="F221" s="1" t="s">
        <v>28</v>
      </c>
      <c r="G221" s="1" t="s">
        <v>279</v>
      </c>
      <c r="H221">
        <v>220</v>
      </c>
      <c r="I221" s="1" t="s">
        <v>30</v>
      </c>
      <c r="J221" s="1" t="s">
        <v>48</v>
      </c>
      <c r="K221" s="1" t="s">
        <v>32</v>
      </c>
      <c r="L221" s="1" t="s">
        <v>23</v>
      </c>
      <c r="M221">
        <v>43</v>
      </c>
      <c r="N221">
        <v>52779</v>
      </c>
      <c r="O221">
        <v>2</v>
      </c>
      <c r="P221">
        <v>3</v>
      </c>
      <c r="Q221">
        <v>7</v>
      </c>
      <c r="R221">
        <v>22</v>
      </c>
      <c r="S221">
        <v>4</v>
      </c>
      <c r="T221">
        <v>4</v>
      </c>
      <c r="U221">
        <v>4</v>
      </c>
      <c r="V221">
        <v>22</v>
      </c>
      <c r="W221">
        <v>5</v>
      </c>
    </row>
    <row r="222" spans="1:23" x14ac:dyDescent="0.25">
      <c r="A222" s="1" t="s">
        <v>23</v>
      </c>
      <c r="B222" s="1" t="s">
        <v>54</v>
      </c>
      <c r="C222" s="1" t="s">
        <v>65</v>
      </c>
      <c r="D222" s="1" t="s">
        <v>26</v>
      </c>
      <c r="E222" s="1" t="s">
        <v>60</v>
      </c>
      <c r="F222" s="1" t="s">
        <v>66</v>
      </c>
      <c r="G222" s="1" t="s">
        <v>280</v>
      </c>
      <c r="H222">
        <v>221</v>
      </c>
      <c r="I222" s="1" t="s">
        <v>30</v>
      </c>
      <c r="J222" s="1" t="s">
        <v>41</v>
      </c>
      <c r="K222" s="1" t="s">
        <v>50</v>
      </c>
      <c r="L222" s="1" t="s">
        <v>33</v>
      </c>
      <c r="M222">
        <v>24</v>
      </c>
      <c r="N222">
        <v>70403</v>
      </c>
      <c r="O222">
        <v>3</v>
      </c>
      <c r="P222">
        <v>2</v>
      </c>
      <c r="Q222">
        <v>18</v>
      </c>
      <c r="R222">
        <v>16</v>
      </c>
      <c r="S222">
        <v>1</v>
      </c>
      <c r="T222">
        <v>1</v>
      </c>
      <c r="U222">
        <v>4</v>
      </c>
      <c r="V222">
        <v>7</v>
      </c>
      <c r="W222">
        <v>5</v>
      </c>
    </row>
    <row r="223" spans="1:23" x14ac:dyDescent="0.25">
      <c r="A223" s="1" t="s">
        <v>23</v>
      </c>
      <c r="B223" s="1" t="s">
        <v>54</v>
      </c>
      <c r="C223" s="1" t="s">
        <v>65</v>
      </c>
      <c r="D223" s="1" t="s">
        <v>26</v>
      </c>
      <c r="E223" s="1" t="s">
        <v>60</v>
      </c>
      <c r="F223" s="1" t="s">
        <v>52</v>
      </c>
      <c r="G223" s="1" t="s">
        <v>281</v>
      </c>
      <c r="H223">
        <v>222</v>
      </c>
      <c r="I223" s="1" t="s">
        <v>30</v>
      </c>
      <c r="J223" s="1" t="s">
        <v>59</v>
      </c>
      <c r="K223" s="1" t="s">
        <v>38</v>
      </c>
      <c r="L223" s="1" t="s">
        <v>33</v>
      </c>
      <c r="M223">
        <v>53</v>
      </c>
      <c r="N223">
        <v>93402</v>
      </c>
      <c r="O223">
        <v>1</v>
      </c>
      <c r="P223">
        <v>4</v>
      </c>
      <c r="Q223">
        <v>24</v>
      </c>
      <c r="R223">
        <v>26</v>
      </c>
      <c r="S223">
        <v>6</v>
      </c>
      <c r="T223">
        <v>3</v>
      </c>
      <c r="U223">
        <v>3</v>
      </c>
      <c r="V223">
        <v>1</v>
      </c>
      <c r="W223">
        <v>3</v>
      </c>
    </row>
    <row r="224" spans="1:23" x14ac:dyDescent="0.25">
      <c r="A224" s="1" t="s">
        <v>23</v>
      </c>
      <c r="B224" s="1" t="s">
        <v>24</v>
      </c>
      <c r="C224" s="1" t="s">
        <v>65</v>
      </c>
      <c r="D224" s="1" t="s">
        <v>26</v>
      </c>
      <c r="E224" s="1" t="s">
        <v>40</v>
      </c>
      <c r="F224" s="1" t="s">
        <v>52</v>
      </c>
      <c r="G224" s="1" t="s">
        <v>282</v>
      </c>
      <c r="H224">
        <v>223</v>
      </c>
      <c r="I224" s="1" t="s">
        <v>36</v>
      </c>
      <c r="J224" s="1" t="s">
        <v>43</v>
      </c>
      <c r="K224" s="1" t="s">
        <v>32</v>
      </c>
      <c r="L224" s="1" t="s">
        <v>33</v>
      </c>
      <c r="M224">
        <v>33</v>
      </c>
      <c r="N224">
        <v>95116</v>
      </c>
      <c r="O224">
        <v>4</v>
      </c>
      <c r="P224">
        <v>2</v>
      </c>
      <c r="Q224">
        <v>4</v>
      </c>
      <c r="R224">
        <v>11</v>
      </c>
      <c r="S224">
        <v>1</v>
      </c>
      <c r="T224">
        <v>1</v>
      </c>
      <c r="U224">
        <v>4</v>
      </c>
      <c r="V224">
        <v>2</v>
      </c>
      <c r="W224">
        <v>4</v>
      </c>
    </row>
    <row r="225" spans="1:23" x14ac:dyDescent="0.25">
      <c r="A225" s="1" t="s">
        <v>23</v>
      </c>
      <c r="B225" s="1" t="s">
        <v>54</v>
      </c>
      <c r="C225" s="1" t="s">
        <v>34</v>
      </c>
      <c r="D225" s="1" t="s">
        <v>26</v>
      </c>
      <c r="E225" s="1" t="s">
        <v>55</v>
      </c>
      <c r="F225" s="1" t="s">
        <v>46</v>
      </c>
      <c r="G225" s="1" t="s">
        <v>283</v>
      </c>
      <c r="H225">
        <v>224</v>
      </c>
      <c r="I225" s="1" t="s">
        <v>30</v>
      </c>
      <c r="J225" s="1" t="s">
        <v>37</v>
      </c>
      <c r="K225" s="1" t="s">
        <v>38</v>
      </c>
      <c r="L225" s="1" t="s">
        <v>33</v>
      </c>
      <c r="M225">
        <v>23</v>
      </c>
      <c r="N225">
        <v>58292</v>
      </c>
      <c r="O225">
        <v>3</v>
      </c>
      <c r="P225">
        <v>1</v>
      </c>
      <c r="Q225">
        <v>40</v>
      </c>
      <c r="R225">
        <v>39</v>
      </c>
      <c r="S225">
        <v>6</v>
      </c>
      <c r="T225">
        <v>3</v>
      </c>
      <c r="U225">
        <v>4</v>
      </c>
      <c r="V225">
        <v>26</v>
      </c>
      <c r="W225">
        <v>5</v>
      </c>
    </row>
    <row r="226" spans="1:23" x14ac:dyDescent="0.25">
      <c r="A226" s="1" t="s">
        <v>23</v>
      </c>
      <c r="B226" s="1" t="s">
        <v>44</v>
      </c>
      <c r="C226" s="1" t="s">
        <v>25</v>
      </c>
      <c r="D226" s="1" t="s">
        <v>26</v>
      </c>
      <c r="E226" s="1" t="s">
        <v>46</v>
      </c>
      <c r="F226" s="1" t="s">
        <v>41</v>
      </c>
      <c r="G226" s="1" t="s">
        <v>284</v>
      </c>
      <c r="H226">
        <v>225</v>
      </c>
      <c r="I226" s="1" t="s">
        <v>30</v>
      </c>
      <c r="J226" s="1" t="s">
        <v>70</v>
      </c>
      <c r="K226" s="1" t="s">
        <v>32</v>
      </c>
      <c r="L226" s="1" t="s">
        <v>33</v>
      </c>
      <c r="M226">
        <v>53</v>
      </c>
      <c r="N226">
        <v>59778</v>
      </c>
      <c r="O226">
        <v>4</v>
      </c>
      <c r="P226">
        <v>4</v>
      </c>
      <c r="Q226">
        <v>5</v>
      </c>
      <c r="R226">
        <v>22</v>
      </c>
      <c r="S226">
        <v>1</v>
      </c>
      <c r="T226">
        <v>2</v>
      </c>
      <c r="U226">
        <v>4</v>
      </c>
      <c r="V226">
        <v>11</v>
      </c>
      <c r="W226">
        <v>3</v>
      </c>
    </row>
    <row r="227" spans="1:23" x14ac:dyDescent="0.25">
      <c r="A227" s="1" t="s">
        <v>23</v>
      </c>
      <c r="B227" s="1" t="s">
        <v>54</v>
      </c>
      <c r="C227" s="1" t="s">
        <v>57</v>
      </c>
      <c r="D227" s="1" t="s">
        <v>26</v>
      </c>
      <c r="E227" s="1" t="s">
        <v>51</v>
      </c>
      <c r="F227" s="1" t="s">
        <v>68</v>
      </c>
      <c r="G227" s="1" t="s">
        <v>285</v>
      </c>
      <c r="H227">
        <v>226</v>
      </c>
      <c r="I227" s="1" t="s">
        <v>30</v>
      </c>
      <c r="J227" s="1" t="s">
        <v>31</v>
      </c>
      <c r="K227" s="1" t="s">
        <v>32</v>
      </c>
      <c r="L227" s="1" t="s">
        <v>23</v>
      </c>
      <c r="M227">
        <v>49</v>
      </c>
      <c r="N227">
        <v>81005</v>
      </c>
      <c r="O227">
        <v>2</v>
      </c>
      <c r="P227">
        <v>1</v>
      </c>
      <c r="Q227">
        <v>20</v>
      </c>
      <c r="R227">
        <v>24</v>
      </c>
      <c r="S227">
        <v>6</v>
      </c>
      <c r="T227">
        <v>1</v>
      </c>
      <c r="U227">
        <v>4</v>
      </c>
      <c r="V227">
        <v>9</v>
      </c>
      <c r="W227">
        <v>5</v>
      </c>
    </row>
    <row r="228" spans="1:23" x14ac:dyDescent="0.25">
      <c r="A228" s="1" t="s">
        <v>23</v>
      </c>
      <c r="B228" s="1" t="s">
        <v>44</v>
      </c>
      <c r="C228" s="1" t="s">
        <v>25</v>
      </c>
      <c r="D228" s="1" t="s">
        <v>26</v>
      </c>
      <c r="E228" s="1" t="s">
        <v>51</v>
      </c>
      <c r="F228" s="1" t="s">
        <v>41</v>
      </c>
      <c r="G228" s="1" t="s">
        <v>286</v>
      </c>
      <c r="H228">
        <v>227</v>
      </c>
      <c r="I228" s="1" t="s">
        <v>36</v>
      </c>
      <c r="J228" s="1" t="s">
        <v>86</v>
      </c>
      <c r="K228" s="1" t="s">
        <v>50</v>
      </c>
      <c r="L228" s="1" t="s">
        <v>23</v>
      </c>
      <c r="M228">
        <v>33</v>
      </c>
      <c r="N228">
        <v>101968</v>
      </c>
      <c r="O228">
        <v>1</v>
      </c>
      <c r="P228">
        <v>1</v>
      </c>
      <c r="Q228">
        <v>10</v>
      </c>
      <c r="R228">
        <v>34</v>
      </c>
      <c r="S228">
        <v>4</v>
      </c>
      <c r="T228">
        <v>1</v>
      </c>
      <c r="U228">
        <v>3</v>
      </c>
      <c r="V228">
        <v>7</v>
      </c>
      <c r="W228">
        <v>2</v>
      </c>
    </row>
    <row r="229" spans="1:23" x14ac:dyDescent="0.25">
      <c r="A229" s="1" t="s">
        <v>33</v>
      </c>
      <c r="B229" s="1" t="s">
        <v>24</v>
      </c>
      <c r="C229" s="1" t="s">
        <v>34</v>
      </c>
      <c r="D229" s="1" t="s">
        <v>73</v>
      </c>
      <c r="E229" s="1" t="s">
        <v>60</v>
      </c>
      <c r="F229" s="1" t="s">
        <v>41</v>
      </c>
      <c r="G229" s="1" t="s">
        <v>287</v>
      </c>
      <c r="H229">
        <v>228</v>
      </c>
      <c r="I229" s="1" t="s">
        <v>36</v>
      </c>
      <c r="J229" s="1" t="s">
        <v>31</v>
      </c>
      <c r="K229" s="1" t="s">
        <v>32</v>
      </c>
      <c r="L229" s="1" t="s">
        <v>33</v>
      </c>
      <c r="M229">
        <v>22</v>
      </c>
      <c r="N229">
        <v>138383</v>
      </c>
      <c r="O229">
        <v>3</v>
      </c>
      <c r="P229">
        <v>1</v>
      </c>
      <c r="Q229">
        <v>5</v>
      </c>
      <c r="R229">
        <v>4</v>
      </c>
      <c r="S229">
        <v>0</v>
      </c>
      <c r="T229">
        <v>2</v>
      </c>
      <c r="U229">
        <v>4</v>
      </c>
      <c r="V229">
        <v>18</v>
      </c>
      <c r="W229">
        <v>1</v>
      </c>
    </row>
    <row r="230" spans="1:23" x14ac:dyDescent="0.25">
      <c r="A230" s="1" t="s">
        <v>23</v>
      </c>
      <c r="B230" s="1" t="s">
        <v>44</v>
      </c>
      <c r="C230" s="1" t="s">
        <v>34</v>
      </c>
      <c r="D230" s="1" t="s">
        <v>26</v>
      </c>
      <c r="E230" s="1" t="s">
        <v>27</v>
      </c>
      <c r="F230" s="1" t="s">
        <v>68</v>
      </c>
      <c r="G230" s="1" t="s">
        <v>288</v>
      </c>
      <c r="H230">
        <v>229</v>
      </c>
      <c r="I230" s="1" t="s">
        <v>36</v>
      </c>
      <c r="J230" s="1" t="s">
        <v>41</v>
      </c>
      <c r="K230" s="1" t="s">
        <v>38</v>
      </c>
      <c r="L230" s="1" t="s">
        <v>23</v>
      </c>
      <c r="M230">
        <v>22</v>
      </c>
      <c r="N230">
        <v>120105</v>
      </c>
      <c r="O230">
        <v>1</v>
      </c>
      <c r="P230">
        <v>1</v>
      </c>
      <c r="Q230">
        <v>39</v>
      </c>
      <c r="R230">
        <v>4</v>
      </c>
      <c r="S230">
        <v>6</v>
      </c>
      <c r="T230">
        <v>1</v>
      </c>
      <c r="U230">
        <v>3</v>
      </c>
      <c r="V230">
        <v>12</v>
      </c>
      <c r="W230">
        <v>5</v>
      </c>
    </row>
    <row r="231" spans="1:23" x14ac:dyDescent="0.25">
      <c r="A231" s="1" t="s">
        <v>23</v>
      </c>
      <c r="B231" s="1" t="s">
        <v>54</v>
      </c>
      <c r="C231" s="1" t="s">
        <v>65</v>
      </c>
      <c r="D231" s="1" t="s">
        <v>26</v>
      </c>
      <c r="E231" s="1" t="s">
        <v>27</v>
      </c>
      <c r="F231" s="1" t="s">
        <v>66</v>
      </c>
      <c r="G231" s="1" t="s">
        <v>289</v>
      </c>
      <c r="H231">
        <v>230</v>
      </c>
      <c r="I231" s="1" t="s">
        <v>36</v>
      </c>
      <c r="J231" s="1" t="s">
        <v>86</v>
      </c>
      <c r="K231" s="1" t="s">
        <v>38</v>
      </c>
      <c r="L231" s="1" t="s">
        <v>23</v>
      </c>
      <c r="M231">
        <v>22</v>
      </c>
      <c r="N231">
        <v>142253</v>
      </c>
      <c r="O231">
        <v>2</v>
      </c>
      <c r="P231">
        <v>2</v>
      </c>
      <c r="Q231">
        <v>8</v>
      </c>
      <c r="R231">
        <v>25</v>
      </c>
      <c r="S231">
        <v>6</v>
      </c>
      <c r="T231">
        <v>3</v>
      </c>
      <c r="U231">
        <v>3</v>
      </c>
      <c r="V231">
        <v>10</v>
      </c>
      <c r="W231">
        <v>3</v>
      </c>
    </row>
    <row r="232" spans="1:23" x14ac:dyDescent="0.25">
      <c r="A232" s="1" t="s">
        <v>33</v>
      </c>
      <c r="B232" s="1" t="s">
        <v>24</v>
      </c>
      <c r="C232" s="1" t="s">
        <v>25</v>
      </c>
      <c r="D232" s="1" t="s">
        <v>73</v>
      </c>
      <c r="E232" s="1" t="s">
        <v>51</v>
      </c>
      <c r="F232" s="1" t="s">
        <v>66</v>
      </c>
      <c r="G232" s="1" t="s">
        <v>290</v>
      </c>
      <c r="H232">
        <v>231</v>
      </c>
      <c r="I232" s="1" t="s">
        <v>30</v>
      </c>
      <c r="J232" s="1" t="s">
        <v>64</v>
      </c>
      <c r="K232" s="1" t="s">
        <v>32</v>
      </c>
      <c r="L232" s="1" t="s">
        <v>23</v>
      </c>
      <c r="M232">
        <v>55</v>
      </c>
      <c r="N232">
        <v>161530</v>
      </c>
      <c r="O232">
        <v>1</v>
      </c>
      <c r="P232">
        <v>3</v>
      </c>
      <c r="Q232">
        <v>13</v>
      </c>
      <c r="R232">
        <v>22</v>
      </c>
      <c r="S232">
        <v>1</v>
      </c>
      <c r="T232">
        <v>4</v>
      </c>
      <c r="U232">
        <v>3</v>
      </c>
      <c r="V232">
        <v>6</v>
      </c>
      <c r="W232">
        <v>2</v>
      </c>
    </row>
    <row r="233" spans="1:23" x14ac:dyDescent="0.25">
      <c r="A233" s="1" t="s">
        <v>23</v>
      </c>
      <c r="B233" s="1" t="s">
        <v>24</v>
      </c>
      <c r="C233" s="1" t="s">
        <v>65</v>
      </c>
      <c r="D233" s="1" t="s">
        <v>26</v>
      </c>
      <c r="E233" s="1" t="s">
        <v>55</v>
      </c>
      <c r="F233" s="1" t="s">
        <v>28</v>
      </c>
      <c r="G233" s="1" t="s">
        <v>291</v>
      </c>
      <c r="H233">
        <v>232</v>
      </c>
      <c r="I233" s="1" t="s">
        <v>30</v>
      </c>
      <c r="J233" s="1" t="s">
        <v>59</v>
      </c>
      <c r="K233" s="1" t="s">
        <v>38</v>
      </c>
      <c r="L233" s="1" t="s">
        <v>33</v>
      </c>
      <c r="M233">
        <v>39</v>
      </c>
      <c r="N233">
        <v>35658</v>
      </c>
      <c r="O233">
        <v>3</v>
      </c>
      <c r="P233">
        <v>1</v>
      </c>
      <c r="Q233">
        <v>12</v>
      </c>
      <c r="R233">
        <v>37</v>
      </c>
      <c r="S233">
        <v>3</v>
      </c>
      <c r="T233">
        <v>3</v>
      </c>
      <c r="U233">
        <v>4</v>
      </c>
      <c r="V233">
        <v>5</v>
      </c>
      <c r="W233">
        <v>2</v>
      </c>
    </row>
    <row r="234" spans="1:23" x14ac:dyDescent="0.25">
      <c r="A234" s="1" t="s">
        <v>23</v>
      </c>
      <c r="B234" s="1" t="s">
        <v>44</v>
      </c>
      <c r="C234" s="1" t="s">
        <v>39</v>
      </c>
      <c r="D234" s="1" t="s">
        <v>26</v>
      </c>
      <c r="E234" s="1" t="s">
        <v>55</v>
      </c>
      <c r="F234" s="1" t="s">
        <v>68</v>
      </c>
      <c r="G234" s="1" t="s">
        <v>292</v>
      </c>
      <c r="H234">
        <v>233</v>
      </c>
      <c r="I234" s="1" t="s">
        <v>36</v>
      </c>
      <c r="J234" s="1" t="s">
        <v>37</v>
      </c>
      <c r="K234" s="1" t="s">
        <v>32</v>
      </c>
      <c r="L234" s="1" t="s">
        <v>23</v>
      </c>
      <c r="M234">
        <v>58</v>
      </c>
      <c r="N234">
        <v>57949</v>
      </c>
      <c r="O234">
        <v>3</v>
      </c>
      <c r="P234">
        <v>3</v>
      </c>
      <c r="Q234">
        <v>27</v>
      </c>
      <c r="R234">
        <v>10</v>
      </c>
      <c r="S234">
        <v>0</v>
      </c>
      <c r="T234">
        <v>3</v>
      </c>
      <c r="U234">
        <v>3</v>
      </c>
      <c r="V234">
        <v>26</v>
      </c>
      <c r="W234">
        <v>2</v>
      </c>
    </row>
    <row r="235" spans="1:23" x14ac:dyDescent="0.25">
      <c r="A235" s="1" t="s">
        <v>23</v>
      </c>
      <c r="B235" s="1" t="s">
        <v>44</v>
      </c>
      <c r="C235" s="1" t="s">
        <v>39</v>
      </c>
      <c r="D235" s="1" t="s">
        <v>26</v>
      </c>
      <c r="E235" s="1" t="s">
        <v>27</v>
      </c>
      <c r="F235" s="1" t="s">
        <v>28</v>
      </c>
      <c r="G235" s="1" t="s">
        <v>293</v>
      </c>
      <c r="H235">
        <v>234</v>
      </c>
      <c r="I235" s="1" t="s">
        <v>36</v>
      </c>
      <c r="J235" s="1" t="s">
        <v>86</v>
      </c>
      <c r="K235" s="1" t="s">
        <v>38</v>
      </c>
      <c r="L235" s="1" t="s">
        <v>23</v>
      </c>
      <c r="M235">
        <v>43</v>
      </c>
      <c r="N235">
        <v>98077</v>
      </c>
      <c r="O235">
        <v>4</v>
      </c>
      <c r="P235">
        <v>1</v>
      </c>
      <c r="Q235">
        <v>11</v>
      </c>
      <c r="R235">
        <v>41</v>
      </c>
      <c r="S235">
        <v>4</v>
      </c>
      <c r="T235">
        <v>1</v>
      </c>
      <c r="U235">
        <v>4</v>
      </c>
      <c r="V235">
        <v>28</v>
      </c>
      <c r="W235">
        <v>2</v>
      </c>
    </row>
    <row r="236" spans="1:23" x14ac:dyDescent="0.25">
      <c r="A236" s="1" t="s">
        <v>33</v>
      </c>
      <c r="B236" s="1" t="s">
        <v>54</v>
      </c>
      <c r="C236" s="1" t="s">
        <v>34</v>
      </c>
      <c r="D236" s="1" t="s">
        <v>73</v>
      </c>
      <c r="E236" s="1" t="s">
        <v>46</v>
      </c>
      <c r="F236" s="1" t="s">
        <v>66</v>
      </c>
      <c r="G236" s="1" t="s">
        <v>294</v>
      </c>
      <c r="H236">
        <v>235</v>
      </c>
      <c r="I236" s="1" t="s">
        <v>30</v>
      </c>
      <c r="J236" s="1" t="s">
        <v>64</v>
      </c>
      <c r="K236" s="1" t="s">
        <v>32</v>
      </c>
      <c r="L236" s="1" t="s">
        <v>33</v>
      </c>
      <c r="M236">
        <v>58</v>
      </c>
      <c r="N236">
        <v>169755</v>
      </c>
      <c r="O236">
        <v>4</v>
      </c>
      <c r="P236">
        <v>2</v>
      </c>
      <c r="Q236">
        <v>2</v>
      </c>
      <c r="R236">
        <v>35</v>
      </c>
      <c r="S236">
        <v>2</v>
      </c>
      <c r="T236">
        <v>4</v>
      </c>
      <c r="U236">
        <v>3</v>
      </c>
      <c r="V236">
        <v>12</v>
      </c>
      <c r="W236">
        <v>4</v>
      </c>
    </row>
    <row r="237" spans="1:23" x14ac:dyDescent="0.25">
      <c r="A237" s="1" t="s">
        <v>23</v>
      </c>
      <c r="B237" s="1" t="s">
        <v>44</v>
      </c>
      <c r="C237" s="1" t="s">
        <v>65</v>
      </c>
      <c r="D237" s="1" t="s">
        <v>26</v>
      </c>
      <c r="E237" s="1" t="s">
        <v>46</v>
      </c>
      <c r="F237" s="1" t="s">
        <v>28</v>
      </c>
      <c r="G237" s="1" t="s">
        <v>295</v>
      </c>
      <c r="H237">
        <v>236</v>
      </c>
      <c r="I237" s="1" t="s">
        <v>36</v>
      </c>
      <c r="J237" s="1" t="s">
        <v>59</v>
      </c>
      <c r="K237" s="1" t="s">
        <v>32</v>
      </c>
      <c r="L237" s="1" t="s">
        <v>33</v>
      </c>
      <c r="M237">
        <v>46</v>
      </c>
      <c r="N237">
        <v>113385</v>
      </c>
      <c r="O237">
        <v>1</v>
      </c>
      <c r="P237">
        <v>2</v>
      </c>
      <c r="Q237">
        <v>39</v>
      </c>
      <c r="R237">
        <v>10</v>
      </c>
      <c r="S237">
        <v>6</v>
      </c>
      <c r="T237">
        <v>2</v>
      </c>
      <c r="U237">
        <v>4</v>
      </c>
      <c r="V237">
        <v>6</v>
      </c>
      <c r="W237">
        <v>2</v>
      </c>
    </row>
    <row r="238" spans="1:23" x14ac:dyDescent="0.25">
      <c r="A238" s="1" t="s">
        <v>23</v>
      </c>
      <c r="B238" s="1" t="s">
        <v>54</v>
      </c>
      <c r="C238" s="1" t="s">
        <v>39</v>
      </c>
      <c r="D238" s="1" t="s">
        <v>26</v>
      </c>
      <c r="E238" s="1" t="s">
        <v>55</v>
      </c>
      <c r="F238" s="1" t="s">
        <v>52</v>
      </c>
      <c r="G238" s="1" t="s">
        <v>296</v>
      </c>
      <c r="H238">
        <v>237</v>
      </c>
      <c r="I238" s="1" t="s">
        <v>36</v>
      </c>
      <c r="J238" s="1" t="s">
        <v>37</v>
      </c>
      <c r="K238" s="1" t="s">
        <v>50</v>
      </c>
      <c r="L238" s="1" t="s">
        <v>33</v>
      </c>
      <c r="M238">
        <v>52</v>
      </c>
      <c r="N238">
        <v>78751</v>
      </c>
      <c r="O238">
        <v>1</v>
      </c>
      <c r="P238">
        <v>3</v>
      </c>
      <c r="Q238">
        <v>23</v>
      </c>
      <c r="R238">
        <v>14</v>
      </c>
      <c r="S238">
        <v>0</v>
      </c>
      <c r="T238">
        <v>2</v>
      </c>
      <c r="U238">
        <v>4</v>
      </c>
      <c r="V238">
        <v>13</v>
      </c>
      <c r="W238">
        <v>4</v>
      </c>
    </row>
    <row r="239" spans="1:23" x14ac:dyDescent="0.25">
      <c r="A239" s="1" t="s">
        <v>33</v>
      </c>
      <c r="B239" s="1" t="s">
        <v>54</v>
      </c>
      <c r="C239" s="1" t="s">
        <v>65</v>
      </c>
      <c r="D239" s="1" t="s">
        <v>73</v>
      </c>
      <c r="E239" s="1" t="s">
        <v>60</v>
      </c>
      <c r="F239" s="1" t="s">
        <v>46</v>
      </c>
      <c r="G239" s="1" t="s">
        <v>297</v>
      </c>
      <c r="H239">
        <v>238</v>
      </c>
      <c r="I239" s="1" t="s">
        <v>30</v>
      </c>
      <c r="J239" s="1" t="s">
        <v>59</v>
      </c>
      <c r="K239" s="1" t="s">
        <v>32</v>
      </c>
      <c r="L239" s="1" t="s">
        <v>23</v>
      </c>
      <c r="M239">
        <v>37</v>
      </c>
      <c r="N239">
        <v>169684</v>
      </c>
      <c r="O239">
        <v>2</v>
      </c>
      <c r="P239">
        <v>4</v>
      </c>
      <c r="Q239">
        <v>24</v>
      </c>
      <c r="R239">
        <v>23</v>
      </c>
      <c r="S239">
        <v>4</v>
      </c>
      <c r="T239">
        <v>1</v>
      </c>
      <c r="U239">
        <v>4</v>
      </c>
      <c r="V239">
        <v>13</v>
      </c>
      <c r="W239">
        <v>2</v>
      </c>
    </row>
    <row r="240" spans="1:23" x14ac:dyDescent="0.25">
      <c r="A240" s="1" t="s">
        <v>23</v>
      </c>
      <c r="B240" s="1" t="s">
        <v>44</v>
      </c>
      <c r="C240" s="1" t="s">
        <v>34</v>
      </c>
      <c r="D240" s="1" t="s">
        <v>26</v>
      </c>
      <c r="E240" s="1" t="s">
        <v>27</v>
      </c>
      <c r="F240" s="1" t="s">
        <v>68</v>
      </c>
      <c r="G240" s="1" t="s">
        <v>298</v>
      </c>
      <c r="H240">
        <v>239</v>
      </c>
      <c r="I240" s="1" t="s">
        <v>30</v>
      </c>
      <c r="J240" s="1" t="s">
        <v>59</v>
      </c>
      <c r="K240" s="1" t="s">
        <v>50</v>
      </c>
      <c r="L240" s="1" t="s">
        <v>23</v>
      </c>
      <c r="M240">
        <v>31</v>
      </c>
      <c r="N240">
        <v>78290</v>
      </c>
      <c r="O240">
        <v>1</v>
      </c>
      <c r="P240">
        <v>3</v>
      </c>
      <c r="Q240">
        <v>13</v>
      </c>
      <c r="R240">
        <v>9</v>
      </c>
      <c r="S240">
        <v>1</v>
      </c>
      <c r="T240">
        <v>2</v>
      </c>
      <c r="U240">
        <v>4</v>
      </c>
      <c r="V240">
        <v>20</v>
      </c>
      <c r="W240">
        <v>1</v>
      </c>
    </row>
    <row r="241" spans="1:23" x14ac:dyDescent="0.25">
      <c r="A241" s="1" t="s">
        <v>23</v>
      </c>
      <c r="B241" s="1" t="s">
        <v>54</v>
      </c>
      <c r="C241" s="1" t="s">
        <v>34</v>
      </c>
      <c r="D241" s="1" t="s">
        <v>26</v>
      </c>
      <c r="E241" s="1" t="s">
        <v>27</v>
      </c>
      <c r="F241" s="1" t="s">
        <v>66</v>
      </c>
      <c r="G241" s="1" t="s">
        <v>299</v>
      </c>
      <c r="H241">
        <v>240</v>
      </c>
      <c r="I241" s="1" t="s">
        <v>36</v>
      </c>
      <c r="J241" s="1" t="s">
        <v>86</v>
      </c>
      <c r="K241" s="1" t="s">
        <v>38</v>
      </c>
      <c r="L241" s="1" t="s">
        <v>33</v>
      </c>
      <c r="M241">
        <v>58</v>
      </c>
      <c r="N241">
        <v>60269</v>
      </c>
      <c r="O241">
        <v>4</v>
      </c>
      <c r="P241">
        <v>1</v>
      </c>
      <c r="Q241">
        <v>15</v>
      </c>
      <c r="R241">
        <v>2</v>
      </c>
      <c r="S241">
        <v>1</v>
      </c>
      <c r="T241">
        <v>2</v>
      </c>
      <c r="U241">
        <v>3</v>
      </c>
      <c r="V241">
        <v>21</v>
      </c>
      <c r="W241">
        <v>5</v>
      </c>
    </row>
    <row r="242" spans="1:23" x14ac:dyDescent="0.25">
      <c r="A242" s="1" t="s">
        <v>23</v>
      </c>
      <c r="B242" s="1" t="s">
        <v>24</v>
      </c>
      <c r="C242" s="1" t="s">
        <v>39</v>
      </c>
      <c r="D242" s="1" t="s">
        <v>26</v>
      </c>
      <c r="E242" s="1" t="s">
        <v>60</v>
      </c>
      <c r="F242" s="1" t="s">
        <v>46</v>
      </c>
      <c r="G242" s="1" t="s">
        <v>300</v>
      </c>
      <c r="H242">
        <v>241</v>
      </c>
      <c r="I242" s="1" t="s">
        <v>30</v>
      </c>
      <c r="J242" s="1" t="s">
        <v>59</v>
      </c>
      <c r="K242" s="1" t="s">
        <v>38</v>
      </c>
      <c r="L242" s="1" t="s">
        <v>33</v>
      </c>
      <c r="M242">
        <v>39</v>
      </c>
      <c r="N242">
        <v>40478</v>
      </c>
      <c r="O242">
        <v>2</v>
      </c>
      <c r="P242">
        <v>4</v>
      </c>
      <c r="Q242">
        <v>38</v>
      </c>
      <c r="R242">
        <v>30</v>
      </c>
      <c r="S242">
        <v>6</v>
      </c>
      <c r="T242">
        <v>4</v>
      </c>
      <c r="U242">
        <v>3</v>
      </c>
      <c r="V242">
        <v>8</v>
      </c>
      <c r="W242">
        <v>4</v>
      </c>
    </row>
    <row r="243" spans="1:23" x14ac:dyDescent="0.25">
      <c r="A243" s="1" t="s">
        <v>23</v>
      </c>
      <c r="B243" s="1" t="s">
        <v>54</v>
      </c>
      <c r="C243" s="1" t="s">
        <v>65</v>
      </c>
      <c r="D243" s="1" t="s">
        <v>26</v>
      </c>
      <c r="E243" s="1" t="s">
        <v>55</v>
      </c>
      <c r="F243" s="1" t="s">
        <v>52</v>
      </c>
      <c r="G243" s="1" t="s">
        <v>301</v>
      </c>
      <c r="H243">
        <v>242</v>
      </c>
      <c r="I243" s="1" t="s">
        <v>36</v>
      </c>
      <c r="J243" s="1" t="s">
        <v>70</v>
      </c>
      <c r="K243" s="1" t="s">
        <v>32</v>
      </c>
      <c r="L243" s="1" t="s">
        <v>23</v>
      </c>
      <c r="M243">
        <v>50</v>
      </c>
      <c r="N243">
        <v>174377</v>
      </c>
      <c r="O243">
        <v>1</v>
      </c>
      <c r="P243">
        <v>2</v>
      </c>
      <c r="Q243">
        <v>24</v>
      </c>
      <c r="R243">
        <v>24</v>
      </c>
      <c r="S243">
        <v>1</v>
      </c>
      <c r="T243">
        <v>1</v>
      </c>
      <c r="U243">
        <v>3</v>
      </c>
      <c r="V243">
        <v>7</v>
      </c>
      <c r="W243">
        <v>5</v>
      </c>
    </row>
    <row r="244" spans="1:23" x14ac:dyDescent="0.25">
      <c r="A244" s="1" t="s">
        <v>33</v>
      </c>
      <c r="B244" s="1" t="s">
        <v>24</v>
      </c>
      <c r="C244" s="1" t="s">
        <v>39</v>
      </c>
      <c r="D244" s="1" t="s">
        <v>73</v>
      </c>
      <c r="E244" s="1" t="s">
        <v>40</v>
      </c>
      <c r="F244" s="1" t="s">
        <v>41</v>
      </c>
      <c r="G244" s="1" t="s">
        <v>302</v>
      </c>
      <c r="H244">
        <v>243</v>
      </c>
      <c r="I244" s="1" t="s">
        <v>30</v>
      </c>
      <c r="J244" s="1" t="s">
        <v>70</v>
      </c>
      <c r="K244" s="1" t="s">
        <v>38</v>
      </c>
      <c r="L244" s="1" t="s">
        <v>33</v>
      </c>
      <c r="M244">
        <v>55</v>
      </c>
      <c r="N244">
        <v>149944</v>
      </c>
      <c r="O244">
        <v>1</v>
      </c>
      <c r="P244">
        <v>1</v>
      </c>
      <c r="Q244">
        <v>30</v>
      </c>
      <c r="R244">
        <v>42</v>
      </c>
      <c r="S244">
        <v>1</v>
      </c>
      <c r="T244">
        <v>1</v>
      </c>
      <c r="U244">
        <v>4</v>
      </c>
      <c r="V244">
        <v>17</v>
      </c>
      <c r="W244">
        <v>4</v>
      </c>
    </row>
    <row r="245" spans="1:23" x14ac:dyDescent="0.25">
      <c r="A245" s="1" t="s">
        <v>23</v>
      </c>
      <c r="B245" s="1" t="s">
        <v>44</v>
      </c>
      <c r="C245" s="1" t="s">
        <v>25</v>
      </c>
      <c r="D245" s="1" t="s">
        <v>26</v>
      </c>
      <c r="E245" s="1" t="s">
        <v>51</v>
      </c>
      <c r="F245" s="1" t="s">
        <v>28</v>
      </c>
      <c r="G245" s="1" t="s">
        <v>303</v>
      </c>
      <c r="H245">
        <v>244</v>
      </c>
      <c r="I245" s="1" t="s">
        <v>36</v>
      </c>
      <c r="J245" s="1" t="s">
        <v>41</v>
      </c>
      <c r="K245" s="1" t="s">
        <v>38</v>
      </c>
      <c r="L245" s="1" t="s">
        <v>33</v>
      </c>
      <c r="M245">
        <v>48</v>
      </c>
      <c r="N245">
        <v>53096</v>
      </c>
      <c r="O245">
        <v>3</v>
      </c>
      <c r="P245">
        <v>4</v>
      </c>
      <c r="Q245">
        <v>14</v>
      </c>
      <c r="R245">
        <v>5</v>
      </c>
      <c r="S245">
        <v>2</v>
      </c>
      <c r="T245">
        <v>4</v>
      </c>
      <c r="U245">
        <v>4</v>
      </c>
      <c r="V245">
        <v>7</v>
      </c>
      <c r="W245">
        <v>1</v>
      </c>
    </row>
    <row r="246" spans="1:23" x14ac:dyDescent="0.25">
      <c r="A246" s="1" t="s">
        <v>23</v>
      </c>
      <c r="B246" s="1" t="s">
        <v>54</v>
      </c>
      <c r="C246" s="1" t="s">
        <v>65</v>
      </c>
      <c r="D246" s="1" t="s">
        <v>26</v>
      </c>
      <c r="E246" s="1" t="s">
        <v>51</v>
      </c>
      <c r="F246" s="1" t="s">
        <v>66</v>
      </c>
      <c r="G246" s="1" t="s">
        <v>304</v>
      </c>
      <c r="H246">
        <v>245</v>
      </c>
      <c r="I246" s="1" t="s">
        <v>30</v>
      </c>
      <c r="J246" s="1" t="s">
        <v>41</v>
      </c>
      <c r="K246" s="1" t="s">
        <v>32</v>
      </c>
      <c r="L246" s="1" t="s">
        <v>33</v>
      </c>
      <c r="M246">
        <v>41</v>
      </c>
      <c r="N246">
        <v>125176</v>
      </c>
      <c r="O246">
        <v>3</v>
      </c>
      <c r="P246">
        <v>1</v>
      </c>
      <c r="Q246">
        <v>9</v>
      </c>
      <c r="R246">
        <v>27</v>
      </c>
      <c r="S246">
        <v>5</v>
      </c>
      <c r="T246">
        <v>3</v>
      </c>
      <c r="U246">
        <v>4</v>
      </c>
      <c r="V246">
        <v>28</v>
      </c>
      <c r="W246">
        <v>5</v>
      </c>
    </row>
    <row r="247" spans="1:23" x14ac:dyDescent="0.25">
      <c r="A247" s="1" t="s">
        <v>23</v>
      </c>
      <c r="B247" s="1" t="s">
        <v>54</v>
      </c>
      <c r="C247" s="1" t="s">
        <v>34</v>
      </c>
      <c r="D247" s="1" t="s">
        <v>26</v>
      </c>
      <c r="E247" s="1" t="s">
        <v>27</v>
      </c>
      <c r="F247" s="1" t="s">
        <v>68</v>
      </c>
      <c r="G247" s="1" t="s">
        <v>305</v>
      </c>
      <c r="H247">
        <v>246</v>
      </c>
      <c r="I247" s="1" t="s">
        <v>30</v>
      </c>
      <c r="J247" s="1" t="s">
        <v>41</v>
      </c>
      <c r="K247" s="1" t="s">
        <v>32</v>
      </c>
      <c r="L247" s="1" t="s">
        <v>23</v>
      </c>
      <c r="M247">
        <v>32</v>
      </c>
      <c r="N247">
        <v>115049</v>
      </c>
      <c r="O247">
        <v>4</v>
      </c>
      <c r="P247">
        <v>3</v>
      </c>
      <c r="Q247">
        <v>19</v>
      </c>
      <c r="R247">
        <v>36</v>
      </c>
      <c r="S247">
        <v>2</v>
      </c>
      <c r="T247">
        <v>4</v>
      </c>
      <c r="U247">
        <v>3</v>
      </c>
      <c r="V247">
        <v>28</v>
      </c>
      <c r="W247">
        <v>1</v>
      </c>
    </row>
    <row r="248" spans="1:23" x14ac:dyDescent="0.25">
      <c r="A248" s="1" t="s">
        <v>23</v>
      </c>
      <c r="B248" s="1" t="s">
        <v>24</v>
      </c>
      <c r="C248" s="1" t="s">
        <v>34</v>
      </c>
      <c r="D248" s="1" t="s">
        <v>26</v>
      </c>
      <c r="E248" s="1" t="s">
        <v>46</v>
      </c>
      <c r="F248" s="1" t="s">
        <v>66</v>
      </c>
      <c r="G248" s="1" t="s">
        <v>306</v>
      </c>
      <c r="H248">
        <v>247</v>
      </c>
      <c r="I248" s="1" t="s">
        <v>30</v>
      </c>
      <c r="J248" s="1" t="s">
        <v>59</v>
      </c>
      <c r="K248" s="1" t="s">
        <v>38</v>
      </c>
      <c r="L248" s="1" t="s">
        <v>23</v>
      </c>
      <c r="M248">
        <v>56</v>
      </c>
      <c r="N248">
        <v>178963</v>
      </c>
      <c r="O248">
        <v>1</v>
      </c>
      <c r="P248">
        <v>2</v>
      </c>
      <c r="Q248">
        <v>24</v>
      </c>
      <c r="R248">
        <v>40</v>
      </c>
      <c r="S248">
        <v>0</v>
      </c>
      <c r="T248">
        <v>1</v>
      </c>
      <c r="U248">
        <v>3</v>
      </c>
      <c r="V248">
        <v>16</v>
      </c>
      <c r="W248">
        <v>5</v>
      </c>
    </row>
    <row r="249" spans="1:23" x14ac:dyDescent="0.25">
      <c r="A249" s="1" t="s">
        <v>23</v>
      </c>
      <c r="B249" s="1" t="s">
        <v>44</v>
      </c>
      <c r="C249" s="1" t="s">
        <v>25</v>
      </c>
      <c r="D249" s="1" t="s">
        <v>26</v>
      </c>
      <c r="E249" s="1" t="s">
        <v>55</v>
      </c>
      <c r="F249" s="1" t="s">
        <v>66</v>
      </c>
      <c r="G249" s="1" t="s">
        <v>307</v>
      </c>
      <c r="H249">
        <v>248</v>
      </c>
      <c r="I249" s="1" t="s">
        <v>30</v>
      </c>
      <c r="J249" s="1" t="s">
        <v>41</v>
      </c>
      <c r="K249" s="1" t="s">
        <v>38</v>
      </c>
      <c r="L249" s="1" t="s">
        <v>23</v>
      </c>
      <c r="M249">
        <v>59</v>
      </c>
      <c r="N249">
        <v>33063</v>
      </c>
      <c r="O249">
        <v>2</v>
      </c>
      <c r="P249">
        <v>4</v>
      </c>
      <c r="Q249">
        <v>28</v>
      </c>
      <c r="R249">
        <v>0</v>
      </c>
      <c r="S249">
        <v>1</v>
      </c>
      <c r="T249">
        <v>3</v>
      </c>
      <c r="U249">
        <v>3</v>
      </c>
      <c r="V249">
        <v>2</v>
      </c>
      <c r="W249">
        <v>5</v>
      </c>
    </row>
    <row r="250" spans="1:23" x14ac:dyDescent="0.25">
      <c r="A250" s="1" t="s">
        <v>23</v>
      </c>
      <c r="B250" s="1" t="s">
        <v>24</v>
      </c>
      <c r="C250" s="1" t="s">
        <v>39</v>
      </c>
      <c r="D250" s="1" t="s">
        <v>26</v>
      </c>
      <c r="E250" s="1" t="s">
        <v>51</v>
      </c>
      <c r="F250" s="1" t="s">
        <v>52</v>
      </c>
      <c r="G250" s="1" t="s">
        <v>308</v>
      </c>
      <c r="H250">
        <v>249</v>
      </c>
      <c r="I250" s="1" t="s">
        <v>30</v>
      </c>
      <c r="J250" s="1" t="s">
        <v>37</v>
      </c>
      <c r="K250" s="1" t="s">
        <v>50</v>
      </c>
      <c r="L250" s="1" t="s">
        <v>33</v>
      </c>
      <c r="M250">
        <v>31</v>
      </c>
      <c r="N250">
        <v>40765</v>
      </c>
      <c r="O250">
        <v>3</v>
      </c>
      <c r="P250">
        <v>4</v>
      </c>
      <c r="Q250">
        <v>22</v>
      </c>
      <c r="R250">
        <v>42</v>
      </c>
      <c r="S250">
        <v>3</v>
      </c>
      <c r="T250">
        <v>4</v>
      </c>
      <c r="U250">
        <v>3</v>
      </c>
      <c r="V250">
        <v>17</v>
      </c>
      <c r="W250">
        <v>1</v>
      </c>
    </row>
    <row r="251" spans="1:23" x14ac:dyDescent="0.25">
      <c r="A251" s="1" t="s">
        <v>23</v>
      </c>
      <c r="B251" s="1" t="s">
        <v>54</v>
      </c>
      <c r="C251" s="1" t="s">
        <v>25</v>
      </c>
      <c r="D251" s="1" t="s">
        <v>26</v>
      </c>
      <c r="E251" s="1" t="s">
        <v>60</v>
      </c>
      <c r="F251" s="1" t="s">
        <v>46</v>
      </c>
      <c r="G251" s="1" t="s">
        <v>309</v>
      </c>
      <c r="H251">
        <v>250</v>
      </c>
      <c r="I251" s="1" t="s">
        <v>36</v>
      </c>
      <c r="J251" s="1" t="s">
        <v>37</v>
      </c>
      <c r="K251" s="1" t="s">
        <v>38</v>
      </c>
      <c r="L251" s="1" t="s">
        <v>33</v>
      </c>
      <c r="M251">
        <v>59</v>
      </c>
      <c r="N251">
        <v>68993</v>
      </c>
      <c r="O251">
        <v>4</v>
      </c>
      <c r="P251">
        <v>4</v>
      </c>
      <c r="Q251">
        <v>36</v>
      </c>
      <c r="R251">
        <v>0</v>
      </c>
      <c r="S251">
        <v>2</v>
      </c>
      <c r="T251">
        <v>2</v>
      </c>
      <c r="U251">
        <v>4</v>
      </c>
      <c r="V251">
        <v>17</v>
      </c>
      <c r="W251">
        <v>1</v>
      </c>
    </row>
    <row r="252" spans="1:23" x14ac:dyDescent="0.25">
      <c r="A252" s="1" t="s">
        <v>23</v>
      </c>
      <c r="B252" s="1" t="s">
        <v>24</v>
      </c>
      <c r="C252" s="1" t="s">
        <v>39</v>
      </c>
      <c r="D252" s="1" t="s">
        <v>26</v>
      </c>
      <c r="E252" s="1" t="s">
        <v>27</v>
      </c>
      <c r="F252" s="1" t="s">
        <v>41</v>
      </c>
      <c r="G252" s="1" t="s">
        <v>310</v>
      </c>
      <c r="H252">
        <v>251</v>
      </c>
      <c r="I252" s="1" t="s">
        <v>36</v>
      </c>
      <c r="J252" s="1" t="s">
        <v>59</v>
      </c>
      <c r="K252" s="1" t="s">
        <v>32</v>
      </c>
      <c r="L252" s="1" t="s">
        <v>23</v>
      </c>
      <c r="M252">
        <v>49</v>
      </c>
      <c r="N252">
        <v>116849</v>
      </c>
      <c r="O252">
        <v>4</v>
      </c>
      <c r="P252">
        <v>2</v>
      </c>
      <c r="Q252">
        <v>21</v>
      </c>
      <c r="R252">
        <v>29</v>
      </c>
      <c r="S252">
        <v>5</v>
      </c>
      <c r="T252">
        <v>4</v>
      </c>
      <c r="U252">
        <v>3</v>
      </c>
      <c r="V252">
        <v>16</v>
      </c>
      <c r="W252">
        <v>1</v>
      </c>
    </row>
    <row r="253" spans="1:23" x14ac:dyDescent="0.25">
      <c r="A253" s="1" t="s">
        <v>23</v>
      </c>
      <c r="B253" s="1" t="s">
        <v>54</v>
      </c>
      <c r="C253" s="1" t="s">
        <v>34</v>
      </c>
      <c r="D253" s="1" t="s">
        <v>26</v>
      </c>
      <c r="E253" s="1" t="s">
        <v>55</v>
      </c>
      <c r="F253" s="1" t="s">
        <v>52</v>
      </c>
      <c r="G253" s="1" t="s">
        <v>311</v>
      </c>
      <c r="H253">
        <v>252</v>
      </c>
      <c r="I253" s="1" t="s">
        <v>30</v>
      </c>
      <c r="J253" s="1" t="s">
        <v>37</v>
      </c>
      <c r="K253" s="1" t="s">
        <v>38</v>
      </c>
      <c r="L253" s="1" t="s">
        <v>23</v>
      </c>
      <c r="M253">
        <v>54</v>
      </c>
      <c r="N253">
        <v>158417</v>
      </c>
      <c r="O253">
        <v>1</v>
      </c>
      <c r="P253">
        <v>3</v>
      </c>
      <c r="Q253">
        <v>15</v>
      </c>
      <c r="R253">
        <v>18</v>
      </c>
      <c r="S253">
        <v>0</v>
      </c>
      <c r="T253">
        <v>4</v>
      </c>
      <c r="U253">
        <v>4</v>
      </c>
      <c r="V253">
        <v>3</v>
      </c>
      <c r="W253">
        <v>5</v>
      </c>
    </row>
    <row r="254" spans="1:23" x14ac:dyDescent="0.25">
      <c r="A254" s="1" t="s">
        <v>33</v>
      </c>
      <c r="B254" s="1" t="s">
        <v>24</v>
      </c>
      <c r="C254" s="1" t="s">
        <v>39</v>
      </c>
      <c r="D254" s="1" t="s">
        <v>73</v>
      </c>
      <c r="E254" s="1" t="s">
        <v>27</v>
      </c>
      <c r="F254" s="1" t="s">
        <v>41</v>
      </c>
      <c r="G254" s="1" t="s">
        <v>312</v>
      </c>
      <c r="H254">
        <v>253</v>
      </c>
      <c r="I254" s="1" t="s">
        <v>36</v>
      </c>
      <c r="J254" s="1" t="s">
        <v>70</v>
      </c>
      <c r="K254" s="1" t="s">
        <v>32</v>
      </c>
      <c r="L254" s="1" t="s">
        <v>33</v>
      </c>
      <c r="M254">
        <v>52</v>
      </c>
      <c r="N254">
        <v>70341</v>
      </c>
      <c r="O254">
        <v>2</v>
      </c>
      <c r="P254">
        <v>2</v>
      </c>
      <c r="Q254">
        <v>16</v>
      </c>
      <c r="R254">
        <v>13</v>
      </c>
      <c r="S254">
        <v>1</v>
      </c>
      <c r="T254">
        <v>2</v>
      </c>
      <c r="U254">
        <v>3</v>
      </c>
      <c r="V254">
        <v>27</v>
      </c>
      <c r="W254">
        <v>5</v>
      </c>
    </row>
    <row r="255" spans="1:23" x14ac:dyDescent="0.25">
      <c r="A255" s="1" t="s">
        <v>23</v>
      </c>
      <c r="B255" s="1" t="s">
        <v>24</v>
      </c>
      <c r="C255" s="1" t="s">
        <v>65</v>
      </c>
      <c r="D255" s="1" t="s">
        <v>26</v>
      </c>
      <c r="E255" s="1" t="s">
        <v>60</v>
      </c>
      <c r="F255" s="1" t="s">
        <v>52</v>
      </c>
      <c r="G255" s="1" t="s">
        <v>313</v>
      </c>
      <c r="H255">
        <v>254</v>
      </c>
      <c r="I255" s="1" t="s">
        <v>36</v>
      </c>
      <c r="J255" s="1" t="s">
        <v>43</v>
      </c>
      <c r="K255" s="1" t="s">
        <v>50</v>
      </c>
      <c r="L255" s="1" t="s">
        <v>33</v>
      </c>
      <c r="M255">
        <v>51</v>
      </c>
      <c r="N255">
        <v>115306</v>
      </c>
      <c r="O255">
        <v>3</v>
      </c>
      <c r="P255">
        <v>4</v>
      </c>
      <c r="Q255">
        <v>36</v>
      </c>
      <c r="R255">
        <v>17</v>
      </c>
      <c r="S255">
        <v>3</v>
      </c>
      <c r="T255">
        <v>2</v>
      </c>
      <c r="U255">
        <v>4</v>
      </c>
      <c r="V255">
        <v>13</v>
      </c>
      <c r="W255">
        <v>2</v>
      </c>
    </row>
    <row r="256" spans="1:23" x14ac:dyDescent="0.25">
      <c r="A256" s="1" t="s">
        <v>23</v>
      </c>
      <c r="B256" s="1" t="s">
        <v>44</v>
      </c>
      <c r="C256" s="1" t="s">
        <v>34</v>
      </c>
      <c r="D256" s="1" t="s">
        <v>26</v>
      </c>
      <c r="E256" s="1" t="s">
        <v>51</v>
      </c>
      <c r="F256" s="1" t="s">
        <v>68</v>
      </c>
      <c r="G256" s="1" t="s">
        <v>314</v>
      </c>
      <c r="H256">
        <v>255</v>
      </c>
      <c r="I256" s="1" t="s">
        <v>30</v>
      </c>
      <c r="J256" s="1" t="s">
        <v>59</v>
      </c>
      <c r="K256" s="1" t="s">
        <v>38</v>
      </c>
      <c r="L256" s="1" t="s">
        <v>23</v>
      </c>
      <c r="M256">
        <v>32</v>
      </c>
      <c r="N256">
        <v>137851</v>
      </c>
      <c r="O256">
        <v>1</v>
      </c>
      <c r="P256">
        <v>4</v>
      </c>
      <c r="Q256">
        <v>20</v>
      </c>
      <c r="R256">
        <v>0</v>
      </c>
      <c r="S256">
        <v>0</v>
      </c>
      <c r="T256">
        <v>2</v>
      </c>
      <c r="U256">
        <v>4</v>
      </c>
      <c r="V256">
        <v>19</v>
      </c>
      <c r="W256">
        <v>1</v>
      </c>
    </row>
    <row r="257" spans="1:23" x14ac:dyDescent="0.25">
      <c r="A257" s="1" t="s">
        <v>23</v>
      </c>
      <c r="B257" s="1" t="s">
        <v>24</v>
      </c>
      <c r="C257" s="1" t="s">
        <v>39</v>
      </c>
      <c r="D257" s="1" t="s">
        <v>26</v>
      </c>
      <c r="E257" s="1" t="s">
        <v>27</v>
      </c>
      <c r="F257" s="1" t="s">
        <v>41</v>
      </c>
      <c r="G257" s="1" t="s">
        <v>315</v>
      </c>
      <c r="H257">
        <v>256</v>
      </c>
      <c r="I257" s="1" t="s">
        <v>36</v>
      </c>
      <c r="J257" s="1" t="s">
        <v>48</v>
      </c>
      <c r="K257" s="1" t="s">
        <v>38</v>
      </c>
      <c r="L257" s="1" t="s">
        <v>23</v>
      </c>
      <c r="M257">
        <v>60</v>
      </c>
      <c r="N257">
        <v>107940</v>
      </c>
      <c r="O257">
        <v>3</v>
      </c>
      <c r="P257">
        <v>2</v>
      </c>
      <c r="Q257">
        <v>31</v>
      </c>
      <c r="R257">
        <v>27</v>
      </c>
      <c r="S257">
        <v>1</v>
      </c>
      <c r="T257">
        <v>4</v>
      </c>
      <c r="U257">
        <v>4</v>
      </c>
      <c r="V257">
        <v>12</v>
      </c>
      <c r="W257">
        <v>4</v>
      </c>
    </row>
    <row r="258" spans="1:23" x14ac:dyDescent="0.25">
      <c r="A258" s="1" t="s">
        <v>23</v>
      </c>
      <c r="B258" s="1" t="s">
        <v>54</v>
      </c>
      <c r="C258" s="1" t="s">
        <v>34</v>
      </c>
      <c r="D258" s="1" t="s">
        <v>26</v>
      </c>
      <c r="E258" s="1" t="s">
        <v>55</v>
      </c>
      <c r="F258" s="1" t="s">
        <v>52</v>
      </c>
      <c r="G258" s="1" t="s">
        <v>316</v>
      </c>
      <c r="H258">
        <v>257</v>
      </c>
      <c r="I258" s="1" t="s">
        <v>30</v>
      </c>
      <c r="J258" s="1" t="s">
        <v>31</v>
      </c>
      <c r="K258" s="1" t="s">
        <v>32</v>
      </c>
      <c r="L258" s="1" t="s">
        <v>23</v>
      </c>
      <c r="M258">
        <v>36</v>
      </c>
      <c r="N258">
        <v>163579</v>
      </c>
      <c r="O258">
        <v>4</v>
      </c>
      <c r="P258">
        <v>4</v>
      </c>
      <c r="Q258">
        <v>12</v>
      </c>
      <c r="R258">
        <v>9</v>
      </c>
      <c r="S258">
        <v>6</v>
      </c>
      <c r="T258">
        <v>2</v>
      </c>
      <c r="U258">
        <v>4</v>
      </c>
      <c r="V258">
        <v>26</v>
      </c>
      <c r="W258">
        <v>1</v>
      </c>
    </row>
    <row r="259" spans="1:23" x14ac:dyDescent="0.25">
      <c r="A259" s="1" t="s">
        <v>23</v>
      </c>
      <c r="B259" s="1" t="s">
        <v>54</v>
      </c>
      <c r="C259" s="1" t="s">
        <v>39</v>
      </c>
      <c r="D259" s="1" t="s">
        <v>26</v>
      </c>
      <c r="E259" s="1" t="s">
        <v>46</v>
      </c>
      <c r="F259" s="1" t="s">
        <v>41</v>
      </c>
      <c r="G259" s="1" t="s">
        <v>317</v>
      </c>
      <c r="H259">
        <v>258</v>
      </c>
      <c r="I259" s="1" t="s">
        <v>36</v>
      </c>
      <c r="J259" s="1" t="s">
        <v>86</v>
      </c>
      <c r="K259" s="1" t="s">
        <v>38</v>
      </c>
      <c r="L259" s="1" t="s">
        <v>23</v>
      </c>
      <c r="M259">
        <v>56</v>
      </c>
      <c r="N259">
        <v>166854</v>
      </c>
      <c r="O259">
        <v>1</v>
      </c>
      <c r="P259">
        <v>4</v>
      </c>
      <c r="Q259">
        <v>6</v>
      </c>
      <c r="R259">
        <v>10</v>
      </c>
      <c r="S259">
        <v>0</v>
      </c>
      <c r="T259">
        <v>2</v>
      </c>
      <c r="U259">
        <v>4</v>
      </c>
      <c r="V259">
        <v>16</v>
      </c>
      <c r="W259">
        <v>1</v>
      </c>
    </row>
    <row r="260" spans="1:23" x14ac:dyDescent="0.25">
      <c r="A260" s="1" t="s">
        <v>23</v>
      </c>
      <c r="B260" s="1" t="s">
        <v>44</v>
      </c>
      <c r="C260" s="1" t="s">
        <v>34</v>
      </c>
      <c r="D260" s="1" t="s">
        <v>26</v>
      </c>
      <c r="E260" s="1" t="s">
        <v>27</v>
      </c>
      <c r="F260" s="1" t="s">
        <v>41</v>
      </c>
      <c r="G260" s="1" t="s">
        <v>318</v>
      </c>
      <c r="H260">
        <v>259</v>
      </c>
      <c r="I260" s="1" t="s">
        <v>36</v>
      </c>
      <c r="J260" s="1" t="s">
        <v>37</v>
      </c>
      <c r="K260" s="1" t="s">
        <v>50</v>
      </c>
      <c r="L260" s="1" t="s">
        <v>23</v>
      </c>
      <c r="M260">
        <v>28</v>
      </c>
      <c r="N260">
        <v>110036</v>
      </c>
      <c r="O260">
        <v>2</v>
      </c>
      <c r="P260">
        <v>2</v>
      </c>
      <c r="Q260">
        <v>18</v>
      </c>
      <c r="R260">
        <v>22</v>
      </c>
      <c r="S260">
        <v>2</v>
      </c>
      <c r="T260">
        <v>4</v>
      </c>
      <c r="U260">
        <v>4</v>
      </c>
      <c r="V260">
        <v>29</v>
      </c>
      <c r="W260">
        <v>1</v>
      </c>
    </row>
    <row r="261" spans="1:23" x14ac:dyDescent="0.25">
      <c r="A261" s="1" t="s">
        <v>23</v>
      </c>
      <c r="B261" s="1" t="s">
        <v>24</v>
      </c>
      <c r="C261" s="1" t="s">
        <v>34</v>
      </c>
      <c r="D261" s="1" t="s">
        <v>26</v>
      </c>
      <c r="E261" s="1" t="s">
        <v>46</v>
      </c>
      <c r="F261" s="1" t="s">
        <v>28</v>
      </c>
      <c r="G261" s="1" t="s">
        <v>319</v>
      </c>
      <c r="H261">
        <v>260</v>
      </c>
      <c r="I261" s="1" t="s">
        <v>36</v>
      </c>
      <c r="J261" s="1" t="s">
        <v>41</v>
      </c>
      <c r="K261" s="1" t="s">
        <v>32</v>
      </c>
      <c r="L261" s="1" t="s">
        <v>23</v>
      </c>
      <c r="M261">
        <v>25</v>
      </c>
      <c r="N261">
        <v>38738</v>
      </c>
      <c r="O261">
        <v>2</v>
      </c>
      <c r="P261">
        <v>3</v>
      </c>
      <c r="Q261">
        <v>14</v>
      </c>
      <c r="R261">
        <v>20</v>
      </c>
      <c r="S261">
        <v>2</v>
      </c>
      <c r="T261">
        <v>3</v>
      </c>
      <c r="U261">
        <v>4</v>
      </c>
      <c r="V261">
        <v>20</v>
      </c>
      <c r="W261">
        <v>4</v>
      </c>
    </row>
    <row r="262" spans="1:23" x14ac:dyDescent="0.25">
      <c r="A262" s="1" t="s">
        <v>23</v>
      </c>
      <c r="B262" s="1" t="s">
        <v>54</v>
      </c>
      <c r="C262" s="1" t="s">
        <v>34</v>
      </c>
      <c r="D262" s="1" t="s">
        <v>26</v>
      </c>
      <c r="E262" s="1" t="s">
        <v>27</v>
      </c>
      <c r="F262" s="1" t="s">
        <v>41</v>
      </c>
      <c r="G262" s="1" t="s">
        <v>320</v>
      </c>
      <c r="H262">
        <v>261</v>
      </c>
      <c r="I262" s="1" t="s">
        <v>36</v>
      </c>
      <c r="J262" s="1" t="s">
        <v>41</v>
      </c>
      <c r="K262" s="1" t="s">
        <v>50</v>
      </c>
      <c r="L262" s="1" t="s">
        <v>33</v>
      </c>
      <c r="M262">
        <v>22</v>
      </c>
      <c r="N262">
        <v>50778</v>
      </c>
      <c r="O262">
        <v>2</v>
      </c>
      <c r="P262">
        <v>3</v>
      </c>
      <c r="Q262">
        <v>5</v>
      </c>
      <c r="R262">
        <v>13</v>
      </c>
      <c r="S262">
        <v>1</v>
      </c>
      <c r="T262">
        <v>4</v>
      </c>
      <c r="U262">
        <v>3</v>
      </c>
      <c r="V262">
        <v>4</v>
      </c>
      <c r="W262">
        <v>1</v>
      </c>
    </row>
    <row r="263" spans="1:23" x14ac:dyDescent="0.25">
      <c r="A263" s="1" t="s">
        <v>33</v>
      </c>
      <c r="B263" s="1" t="s">
        <v>24</v>
      </c>
      <c r="C263" s="1" t="s">
        <v>39</v>
      </c>
      <c r="D263" s="1" t="s">
        <v>73</v>
      </c>
      <c r="E263" s="1" t="s">
        <v>60</v>
      </c>
      <c r="F263" s="1" t="s">
        <v>68</v>
      </c>
      <c r="G263" s="1" t="s">
        <v>321</v>
      </c>
      <c r="H263">
        <v>262</v>
      </c>
      <c r="I263" s="1" t="s">
        <v>30</v>
      </c>
      <c r="J263" s="1" t="s">
        <v>31</v>
      </c>
      <c r="K263" s="1" t="s">
        <v>38</v>
      </c>
      <c r="L263" s="1" t="s">
        <v>33</v>
      </c>
      <c r="M263">
        <v>26</v>
      </c>
      <c r="N263">
        <v>120195</v>
      </c>
      <c r="O263">
        <v>3</v>
      </c>
      <c r="P263">
        <v>2</v>
      </c>
      <c r="Q263">
        <v>15</v>
      </c>
      <c r="R263">
        <v>18</v>
      </c>
      <c r="S263">
        <v>3</v>
      </c>
      <c r="T263">
        <v>2</v>
      </c>
      <c r="U263">
        <v>3</v>
      </c>
      <c r="V263">
        <v>17</v>
      </c>
      <c r="W263">
        <v>2</v>
      </c>
    </row>
    <row r="264" spans="1:23" x14ac:dyDescent="0.25">
      <c r="A264" s="1" t="s">
        <v>23</v>
      </c>
      <c r="B264" s="1" t="s">
        <v>44</v>
      </c>
      <c r="C264" s="1" t="s">
        <v>39</v>
      </c>
      <c r="D264" s="1" t="s">
        <v>26</v>
      </c>
      <c r="E264" s="1" t="s">
        <v>27</v>
      </c>
      <c r="F264" s="1" t="s">
        <v>68</v>
      </c>
      <c r="G264" s="1" t="s">
        <v>322</v>
      </c>
      <c r="H264">
        <v>263</v>
      </c>
      <c r="I264" s="1" t="s">
        <v>36</v>
      </c>
      <c r="J264" s="1" t="s">
        <v>59</v>
      </c>
      <c r="K264" s="1" t="s">
        <v>38</v>
      </c>
      <c r="L264" s="1" t="s">
        <v>33</v>
      </c>
      <c r="M264">
        <v>55</v>
      </c>
      <c r="N264">
        <v>64409</v>
      </c>
      <c r="O264">
        <v>4</v>
      </c>
      <c r="P264">
        <v>4</v>
      </c>
      <c r="Q264">
        <v>33</v>
      </c>
      <c r="R264">
        <v>40</v>
      </c>
      <c r="S264">
        <v>5</v>
      </c>
      <c r="T264">
        <v>3</v>
      </c>
      <c r="U264">
        <v>4</v>
      </c>
      <c r="V264">
        <v>16</v>
      </c>
      <c r="W264">
        <v>5</v>
      </c>
    </row>
    <row r="265" spans="1:23" x14ac:dyDescent="0.25">
      <c r="A265" s="1" t="s">
        <v>23</v>
      </c>
      <c r="B265" s="1" t="s">
        <v>44</v>
      </c>
      <c r="C265" s="1" t="s">
        <v>25</v>
      </c>
      <c r="D265" s="1" t="s">
        <v>26</v>
      </c>
      <c r="E265" s="1" t="s">
        <v>27</v>
      </c>
      <c r="F265" s="1" t="s">
        <v>68</v>
      </c>
      <c r="G265" s="1" t="s">
        <v>323</v>
      </c>
      <c r="H265">
        <v>264</v>
      </c>
      <c r="I265" s="1" t="s">
        <v>36</v>
      </c>
      <c r="J265" s="1" t="s">
        <v>70</v>
      </c>
      <c r="K265" s="1" t="s">
        <v>38</v>
      </c>
      <c r="L265" s="1" t="s">
        <v>33</v>
      </c>
      <c r="M265">
        <v>21</v>
      </c>
      <c r="N265">
        <v>155184</v>
      </c>
      <c r="O265">
        <v>2</v>
      </c>
      <c r="P265">
        <v>3</v>
      </c>
      <c r="Q265">
        <v>18</v>
      </c>
      <c r="R265">
        <v>30</v>
      </c>
      <c r="S265">
        <v>4</v>
      </c>
      <c r="T265">
        <v>1</v>
      </c>
      <c r="U265">
        <v>4</v>
      </c>
      <c r="V265">
        <v>25</v>
      </c>
      <c r="W265">
        <v>4</v>
      </c>
    </row>
    <row r="266" spans="1:23" x14ac:dyDescent="0.25">
      <c r="A266" s="1" t="s">
        <v>23</v>
      </c>
      <c r="B266" s="1" t="s">
        <v>54</v>
      </c>
      <c r="C266" s="1" t="s">
        <v>65</v>
      </c>
      <c r="D266" s="1" t="s">
        <v>26</v>
      </c>
      <c r="E266" s="1" t="s">
        <v>27</v>
      </c>
      <c r="F266" s="1" t="s">
        <v>28</v>
      </c>
      <c r="G266" s="1" t="s">
        <v>324</v>
      </c>
      <c r="H266">
        <v>265</v>
      </c>
      <c r="I266" s="1" t="s">
        <v>30</v>
      </c>
      <c r="J266" s="1" t="s">
        <v>59</v>
      </c>
      <c r="K266" s="1" t="s">
        <v>38</v>
      </c>
      <c r="L266" s="1" t="s">
        <v>33</v>
      </c>
      <c r="M266">
        <v>47</v>
      </c>
      <c r="N266">
        <v>164945</v>
      </c>
      <c r="O266">
        <v>4</v>
      </c>
      <c r="P266">
        <v>4</v>
      </c>
      <c r="Q266">
        <v>15</v>
      </c>
      <c r="R266">
        <v>10</v>
      </c>
      <c r="S266">
        <v>5</v>
      </c>
      <c r="T266">
        <v>4</v>
      </c>
      <c r="U266">
        <v>4</v>
      </c>
      <c r="V266">
        <v>8</v>
      </c>
      <c r="W266">
        <v>3</v>
      </c>
    </row>
    <row r="267" spans="1:23" x14ac:dyDescent="0.25">
      <c r="A267" s="1" t="s">
        <v>23</v>
      </c>
      <c r="B267" s="1" t="s">
        <v>54</v>
      </c>
      <c r="C267" s="1" t="s">
        <v>39</v>
      </c>
      <c r="D267" s="1" t="s">
        <v>26</v>
      </c>
      <c r="E267" s="1" t="s">
        <v>51</v>
      </c>
      <c r="F267" s="1" t="s">
        <v>52</v>
      </c>
      <c r="G267" s="1" t="s">
        <v>325</v>
      </c>
      <c r="H267">
        <v>266</v>
      </c>
      <c r="I267" s="1" t="s">
        <v>36</v>
      </c>
      <c r="J267" s="1" t="s">
        <v>76</v>
      </c>
      <c r="K267" s="1" t="s">
        <v>32</v>
      </c>
      <c r="L267" s="1" t="s">
        <v>23</v>
      </c>
      <c r="M267">
        <v>47</v>
      </c>
      <c r="N267">
        <v>67283</v>
      </c>
      <c r="O267">
        <v>1</v>
      </c>
      <c r="P267">
        <v>2</v>
      </c>
      <c r="Q267">
        <v>8</v>
      </c>
      <c r="R267">
        <v>18</v>
      </c>
      <c r="S267">
        <v>0</v>
      </c>
      <c r="T267">
        <v>4</v>
      </c>
      <c r="U267">
        <v>4</v>
      </c>
      <c r="V267">
        <v>9</v>
      </c>
      <c r="W267">
        <v>5</v>
      </c>
    </row>
    <row r="268" spans="1:23" x14ac:dyDescent="0.25">
      <c r="A268" s="1" t="s">
        <v>23</v>
      </c>
      <c r="B268" s="1" t="s">
        <v>24</v>
      </c>
      <c r="C268" s="1" t="s">
        <v>34</v>
      </c>
      <c r="D268" s="1" t="s">
        <v>26</v>
      </c>
      <c r="E268" s="1" t="s">
        <v>55</v>
      </c>
      <c r="F268" s="1" t="s">
        <v>41</v>
      </c>
      <c r="G268" s="1" t="s">
        <v>326</v>
      </c>
      <c r="H268">
        <v>267</v>
      </c>
      <c r="I268" s="1" t="s">
        <v>30</v>
      </c>
      <c r="J268" s="1" t="s">
        <v>70</v>
      </c>
      <c r="K268" s="1" t="s">
        <v>50</v>
      </c>
      <c r="L268" s="1" t="s">
        <v>23</v>
      </c>
      <c r="M268">
        <v>38</v>
      </c>
      <c r="N268">
        <v>50778</v>
      </c>
      <c r="O268">
        <v>4</v>
      </c>
      <c r="P268">
        <v>1</v>
      </c>
      <c r="Q268">
        <v>14</v>
      </c>
      <c r="R268">
        <v>5</v>
      </c>
      <c r="S268">
        <v>1</v>
      </c>
      <c r="T268">
        <v>1</v>
      </c>
      <c r="U268">
        <v>4</v>
      </c>
      <c r="V268">
        <v>7</v>
      </c>
      <c r="W268">
        <v>3</v>
      </c>
    </row>
    <row r="269" spans="1:23" x14ac:dyDescent="0.25">
      <c r="A269" s="1" t="s">
        <v>23</v>
      </c>
      <c r="B269" s="1" t="s">
        <v>44</v>
      </c>
      <c r="C269" s="1" t="s">
        <v>65</v>
      </c>
      <c r="D269" s="1" t="s">
        <v>26</v>
      </c>
      <c r="E269" s="1" t="s">
        <v>40</v>
      </c>
      <c r="F269" s="1" t="s">
        <v>68</v>
      </c>
      <c r="G269" s="1" t="s">
        <v>327</v>
      </c>
      <c r="H269">
        <v>268</v>
      </c>
      <c r="I269" s="1" t="s">
        <v>30</v>
      </c>
      <c r="J269" s="1" t="s">
        <v>37</v>
      </c>
      <c r="K269" s="1" t="s">
        <v>50</v>
      </c>
      <c r="L269" s="1" t="s">
        <v>33</v>
      </c>
      <c r="M269">
        <v>24</v>
      </c>
      <c r="N269">
        <v>87862</v>
      </c>
      <c r="O269">
        <v>4</v>
      </c>
      <c r="P269">
        <v>1</v>
      </c>
      <c r="Q269">
        <v>34</v>
      </c>
      <c r="R269">
        <v>30</v>
      </c>
      <c r="S269">
        <v>1</v>
      </c>
      <c r="T269">
        <v>2</v>
      </c>
      <c r="U269">
        <v>4</v>
      </c>
      <c r="V269">
        <v>27</v>
      </c>
      <c r="W269">
        <v>4</v>
      </c>
    </row>
    <row r="270" spans="1:23" x14ac:dyDescent="0.25">
      <c r="A270" s="1" t="s">
        <v>23</v>
      </c>
      <c r="B270" s="1" t="s">
        <v>24</v>
      </c>
      <c r="C270" s="1" t="s">
        <v>34</v>
      </c>
      <c r="D270" s="1" t="s">
        <v>26</v>
      </c>
      <c r="E270" s="1" t="s">
        <v>46</v>
      </c>
      <c r="F270" s="1" t="s">
        <v>68</v>
      </c>
      <c r="G270" s="1" t="s">
        <v>328</v>
      </c>
      <c r="H270">
        <v>269</v>
      </c>
      <c r="I270" s="1" t="s">
        <v>36</v>
      </c>
      <c r="J270" s="1" t="s">
        <v>48</v>
      </c>
      <c r="K270" s="1" t="s">
        <v>32</v>
      </c>
      <c r="L270" s="1" t="s">
        <v>33</v>
      </c>
      <c r="M270">
        <v>33</v>
      </c>
      <c r="N270">
        <v>138805</v>
      </c>
      <c r="O270">
        <v>1</v>
      </c>
      <c r="P270">
        <v>2</v>
      </c>
      <c r="Q270">
        <v>30</v>
      </c>
      <c r="R270">
        <v>24</v>
      </c>
      <c r="S270">
        <v>5</v>
      </c>
      <c r="T270">
        <v>3</v>
      </c>
      <c r="U270">
        <v>4</v>
      </c>
      <c r="V270">
        <v>6</v>
      </c>
      <c r="W270">
        <v>1</v>
      </c>
    </row>
    <row r="271" spans="1:23" x14ac:dyDescent="0.25">
      <c r="A271" s="1" t="s">
        <v>23</v>
      </c>
      <c r="B271" s="1" t="s">
        <v>44</v>
      </c>
      <c r="C271" s="1" t="s">
        <v>39</v>
      </c>
      <c r="D271" s="1" t="s">
        <v>26</v>
      </c>
      <c r="E271" s="1" t="s">
        <v>60</v>
      </c>
      <c r="F271" s="1" t="s">
        <v>68</v>
      </c>
      <c r="G271" s="1" t="s">
        <v>329</v>
      </c>
      <c r="H271">
        <v>270</v>
      </c>
      <c r="I271" s="1" t="s">
        <v>36</v>
      </c>
      <c r="J271" s="1" t="s">
        <v>48</v>
      </c>
      <c r="K271" s="1" t="s">
        <v>38</v>
      </c>
      <c r="L271" s="1" t="s">
        <v>33</v>
      </c>
      <c r="M271">
        <v>34</v>
      </c>
      <c r="N271">
        <v>47603</v>
      </c>
      <c r="O271">
        <v>2</v>
      </c>
      <c r="P271">
        <v>4</v>
      </c>
      <c r="Q271">
        <v>20</v>
      </c>
      <c r="R271">
        <v>0</v>
      </c>
      <c r="S271">
        <v>1</v>
      </c>
      <c r="T271">
        <v>3</v>
      </c>
      <c r="U271">
        <v>3</v>
      </c>
      <c r="V271">
        <v>13</v>
      </c>
      <c r="W271">
        <v>2</v>
      </c>
    </row>
    <row r="272" spans="1:23" x14ac:dyDescent="0.25">
      <c r="A272" s="1" t="s">
        <v>23</v>
      </c>
      <c r="B272" s="1" t="s">
        <v>44</v>
      </c>
      <c r="C272" s="1" t="s">
        <v>25</v>
      </c>
      <c r="D272" s="1" t="s">
        <v>26</v>
      </c>
      <c r="E272" s="1" t="s">
        <v>46</v>
      </c>
      <c r="F272" s="1" t="s">
        <v>52</v>
      </c>
      <c r="G272" s="1" t="s">
        <v>330</v>
      </c>
      <c r="H272">
        <v>271</v>
      </c>
      <c r="I272" s="1" t="s">
        <v>30</v>
      </c>
      <c r="J272" s="1" t="s">
        <v>37</v>
      </c>
      <c r="K272" s="1" t="s">
        <v>50</v>
      </c>
      <c r="L272" s="1" t="s">
        <v>33</v>
      </c>
      <c r="M272">
        <v>31</v>
      </c>
      <c r="N272">
        <v>149050</v>
      </c>
      <c r="O272">
        <v>1</v>
      </c>
      <c r="P272">
        <v>3</v>
      </c>
      <c r="Q272">
        <v>40</v>
      </c>
      <c r="R272">
        <v>3</v>
      </c>
      <c r="S272">
        <v>0</v>
      </c>
      <c r="T272">
        <v>3</v>
      </c>
      <c r="U272">
        <v>3</v>
      </c>
      <c r="V272">
        <v>23</v>
      </c>
      <c r="W272">
        <v>5</v>
      </c>
    </row>
    <row r="273" spans="1:23" x14ac:dyDescent="0.25">
      <c r="A273" s="1" t="s">
        <v>23</v>
      </c>
      <c r="B273" s="1" t="s">
        <v>44</v>
      </c>
      <c r="C273" s="1" t="s">
        <v>34</v>
      </c>
      <c r="D273" s="1" t="s">
        <v>26</v>
      </c>
      <c r="E273" s="1" t="s">
        <v>55</v>
      </c>
      <c r="F273" s="1" t="s">
        <v>41</v>
      </c>
      <c r="G273" s="1" t="s">
        <v>331</v>
      </c>
      <c r="H273">
        <v>272</v>
      </c>
      <c r="I273" s="1" t="s">
        <v>36</v>
      </c>
      <c r="J273" s="1" t="s">
        <v>86</v>
      </c>
      <c r="K273" s="1" t="s">
        <v>32</v>
      </c>
      <c r="L273" s="1" t="s">
        <v>33</v>
      </c>
      <c r="M273">
        <v>22</v>
      </c>
      <c r="N273">
        <v>117029</v>
      </c>
      <c r="O273">
        <v>3</v>
      </c>
      <c r="P273">
        <v>2</v>
      </c>
      <c r="Q273">
        <v>16</v>
      </c>
      <c r="R273">
        <v>2</v>
      </c>
      <c r="S273">
        <v>3</v>
      </c>
      <c r="T273">
        <v>4</v>
      </c>
      <c r="U273">
        <v>4</v>
      </c>
      <c r="V273">
        <v>18</v>
      </c>
      <c r="W273">
        <v>4</v>
      </c>
    </row>
    <row r="274" spans="1:23" x14ac:dyDescent="0.25">
      <c r="A274" s="1" t="s">
        <v>23</v>
      </c>
      <c r="B274" s="1" t="s">
        <v>44</v>
      </c>
      <c r="C274" s="1" t="s">
        <v>34</v>
      </c>
      <c r="D274" s="1" t="s">
        <v>26</v>
      </c>
      <c r="E274" s="1" t="s">
        <v>27</v>
      </c>
      <c r="F274" s="1" t="s">
        <v>52</v>
      </c>
      <c r="G274" s="1" t="s">
        <v>332</v>
      </c>
      <c r="H274">
        <v>273</v>
      </c>
      <c r="I274" s="1" t="s">
        <v>36</v>
      </c>
      <c r="J274" s="1" t="s">
        <v>76</v>
      </c>
      <c r="K274" s="1" t="s">
        <v>32</v>
      </c>
      <c r="L274" s="1" t="s">
        <v>33</v>
      </c>
      <c r="M274">
        <v>25</v>
      </c>
      <c r="N274">
        <v>157234</v>
      </c>
      <c r="O274">
        <v>2</v>
      </c>
      <c r="P274">
        <v>4</v>
      </c>
      <c r="Q274">
        <v>18</v>
      </c>
      <c r="R274">
        <v>16</v>
      </c>
      <c r="S274">
        <v>4</v>
      </c>
      <c r="T274">
        <v>3</v>
      </c>
      <c r="U274">
        <v>4</v>
      </c>
      <c r="V274">
        <v>1</v>
      </c>
      <c r="W274">
        <v>5</v>
      </c>
    </row>
    <row r="275" spans="1:23" x14ac:dyDescent="0.25">
      <c r="A275" s="1" t="s">
        <v>23</v>
      </c>
      <c r="B275" s="1" t="s">
        <v>54</v>
      </c>
      <c r="C275" s="1" t="s">
        <v>34</v>
      </c>
      <c r="D275" s="1" t="s">
        <v>26</v>
      </c>
      <c r="E275" s="1" t="s">
        <v>60</v>
      </c>
      <c r="F275" s="1" t="s">
        <v>46</v>
      </c>
      <c r="G275" s="1" t="s">
        <v>333</v>
      </c>
      <c r="H275">
        <v>274</v>
      </c>
      <c r="I275" s="1" t="s">
        <v>30</v>
      </c>
      <c r="J275" s="1" t="s">
        <v>37</v>
      </c>
      <c r="K275" s="1" t="s">
        <v>32</v>
      </c>
      <c r="L275" s="1" t="s">
        <v>33</v>
      </c>
      <c r="M275">
        <v>55</v>
      </c>
      <c r="N275">
        <v>119578</v>
      </c>
      <c r="O275">
        <v>2</v>
      </c>
      <c r="P275">
        <v>4</v>
      </c>
      <c r="Q275">
        <v>35</v>
      </c>
      <c r="R275">
        <v>9</v>
      </c>
      <c r="S275">
        <v>4</v>
      </c>
      <c r="T275">
        <v>3</v>
      </c>
      <c r="U275">
        <v>4</v>
      </c>
      <c r="V275">
        <v>14</v>
      </c>
      <c r="W275">
        <v>3</v>
      </c>
    </row>
    <row r="276" spans="1:23" x14ac:dyDescent="0.25">
      <c r="A276" s="1" t="s">
        <v>23</v>
      </c>
      <c r="B276" s="1" t="s">
        <v>24</v>
      </c>
      <c r="C276" s="1" t="s">
        <v>39</v>
      </c>
      <c r="D276" s="1" t="s">
        <v>26</v>
      </c>
      <c r="E276" s="1" t="s">
        <v>60</v>
      </c>
      <c r="F276" s="1" t="s">
        <v>28</v>
      </c>
      <c r="G276" s="1" t="s">
        <v>334</v>
      </c>
      <c r="H276">
        <v>275</v>
      </c>
      <c r="I276" s="1" t="s">
        <v>30</v>
      </c>
      <c r="J276" s="1" t="s">
        <v>64</v>
      </c>
      <c r="K276" s="1" t="s">
        <v>50</v>
      </c>
      <c r="L276" s="1" t="s">
        <v>33</v>
      </c>
      <c r="M276">
        <v>52</v>
      </c>
      <c r="N276">
        <v>68231</v>
      </c>
      <c r="O276">
        <v>1</v>
      </c>
      <c r="P276">
        <v>1</v>
      </c>
      <c r="Q276">
        <v>36</v>
      </c>
      <c r="R276">
        <v>41</v>
      </c>
      <c r="S276">
        <v>6</v>
      </c>
      <c r="T276">
        <v>4</v>
      </c>
      <c r="U276">
        <v>4</v>
      </c>
      <c r="V276">
        <v>17</v>
      </c>
      <c r="W276">
        <v>5</v>
      </c>
    </row>
    <row r="277" spans="1:23" x14ac:dyDescent="0.25">
      <c r="A277" s="1" t="s">
        <v>23</v>
      </c>
      <c r="B277" s="1" t="s">
        <v>24</v>
      </c>
      <c r="C277" s="1" t="s">
        <v>34</v>
      </c>
      <c r="D277" s="1" t="s">
        <v>26</v>
      </c>
      <c r="E277" s="1" t="s">
        <v>27</v>
      </c>
      <c r="F277" s="1" t="s">
        <v>41</v>
      </c>
      <c r="G277" s="1" t="s">
        <v>335</v>
      </c>
      <c r="H277">
        <v>276</v>
      </c>
      <c r="I277" s="1" t="s">
        <v>30</v>
      </c>
      <c r="J277" s="1" t="s">
        <v>64</v>
      </c>
      <c r="K277" s="1" t="s">
        <v>50</v>
      </c>
      <c r="L277" s="1" t="s">
        <v>23</v>
      </c>
      <c r="M277">
        <v>26</v>
      </c>
      <c r="N277">
        <v>140698</v>
      </c>
      <c r="O277">
        <v>1</v>
      </c>
      <c r="P277">
        <v>3</v>
      </c>
      <c r="Q277">
        <v>35</v>
      </c>
      <c r="R277">
        <v>26</v>
      </c>
      <c r="S277">
        <v>6</v>
      </c>
      <c r="T277">
        <v>3</v>
      </c>
      <c r="U277">
        <v>3</v>
      </c>
      <c r="V277">
        <v>27</v>
      </c>
      <c r="W277">
        <v>5</v>
      </c>
    </row>
    <row r="278" spans="1:23" x14ac:dyDescent="0.25">
      <c r="A278" s="1" t="s">
        <v>23</v>
      </c>
      <c r="B278" s="1" t="s">
        <v>44</v>
      </c>
      <c r="C278" s="1" t="s">
        <v>25</v>
      </c>
      <c r="D278" s="1" t="s">
        <v>26</v>
      </c>
      <c r="E278" s="1" t="s">
        <v>60</v>
      </c>
      <c r="F278" s="1" t="s">
        <v>66</v>
      </c>
      <c r="G278" s="1" t="s">
        <v>336</v>
      </c>
      <c r="H278">
        <v>277</v>
      </c>
      <c r="I278" s="1" t="s">
        <v>30</v>
      </c>
      <c r="J278" s="1" t="s">
        <v>59</v>
      </c>
      <c r="K278" s="1" t="s">
        <v>50</v>
      </c>
      <c r="L278" s="1" t="s">
        <v>33</v>
      </c>
      <c r="M278">
        <v>35</v>
      </c>
      <c r="N278">
        <v>157371</v>
      </c>
      <c r="O278">
        <v>4</v>
      </c>
      <c r="P278">
        <v>2</v>
      </c>
      <c r="Q278">
        <v>12</v>
      </c>
      <c r="R278">
        <v>33</v>
      </c>
      <c r="S278">
        <v>5</v>
      </c>
      <c r="T278">
        <v>2</v>
      </c>
      <c r="U278">
        <v>3</v>
      </c>
      <c r="V278">
        <v>18</v>
      </c>
      <c r="W278">
        <v>5</v>
      </c>
    </row>
    <row r="279" spans="1:23" x14ac:dyDescent="0.25">
      <c r="A279" s="1" t="s">
        <v>23</v>
      </c>
      <c r="B279" s="1" t="s">
        <v>54</v>
      </c>
      <c r="C279" s="1" t="s">
        <v>34</v>
      </c>
      <c r="D279" s="1" t="s">
        <v>26</v>
      </c>
      <c r="E279" s="1" t="s">
        <v>46</v>
      </c>
      <c r="F279" s="1" t="s">
        <v>46</v>
      </c>
      <c r="G279" s="1" t="s">
        <v>337</v>
      </c>
      <c r="H279">
        <v>278</v>
      </c>
      <c r="I279" s="1" t="s">
        <v>36</v>
      </c>
      <c r="J279" s="1" t="s">
        <v>41</v>
      </c>
      <c r="K279" s="1" t="s">
        <v>50</v>
      </c>
      <c r="L279" s="1" t="s">
        <v>33</v>
      </c>
      <c r="M279">
        <v>32</v>
      </c>
      <c r="N279">
        <v>162170</v>
      </c>
      <c r="O279">
        <v>4</v>
      </c>
      <c r="P279">
        <v>3</v>
      </c>
      <c r="Q279">
        <v>10</v>
      </c>
      <c r="R279">
        <v>34</v>
      </c>
      <c r="S279">
        <v>4</v>
      </c>
      <c r="T279">
        <v>4</v>
      </c>
      <c r="U279">
        <v>4</v>
      </c>
      <c r="V279">
        <v>29</v>
      </c>
      <c r="W279">
        <v>3</v>
      </c>
    </row>
    <row r="280" spans="1:23" x14ac:dyDescent="0.25">
      <c r="A280" s="1" t="s">
        <v>23</v>
      </c>
      <c r="B280" s="1" t="s">
        <v>44</v>
      </c>
      <c r="C280" s="1" t="s">
        <v>57</v>
      </c>
      <c r="D280" s="1" t="s">
        <v>26</v>
      </c>
      <c r="E280" s="1" t="s">
        <v>27</v>
      </c>
      <c r="F280" s="1" t="s">
        <v>52</v>
      </c>
      <c r="G280" s="1" t="s">
        <v>338</v>
      </c>
      <c r="H280">
        <v>279</v>
      </c>
      <c r="I280" s="1" t="s">
        <v>36</v>
      </c>
      <c r="J280" s="1" t="s">
        <v>37</v>
      </c>
      <c r="K280" s="1" t="s">
        <v>32</v>
      </c>
      <c r="L280" s="1" t="s">
        <v>33</v>
      </c>
      <c r="M280">
        <v>57</v>
      </c>
      <c r="N280">
        <v>161032</v>
      </c>
      <c r="O280">
        <v>2</v>
      </c>
      <c r="P280">
        <v>4</v>
      </c>
      <c r="Q280">
        <v>35</v>
      </c>
      <c r="R280">
        <v>16</v>
      </c>
      <c r="S280">
        <v>2</v>
      </c>
      <c r="T280">
        <v>4</v>
      </c>
      <c r="U280">
        <v>4</v>
      </c>
      <c r="V280">
        <v>13</v>
      </c>
      <c r="W280">
        <v>1</v>
      </c>
    </row>
    <row r="281" spans="1:23" x14ac:dyDescent="0.25">
      <c r="A281" s="1" t="s">
        <v>23</v>
      </c>
      <c r="B281" s="1" t="s">
        <v>24</v>
      </c>
      <c r="C281" s="1" t="s">
        <v>57</v>
      </c>
      <c r="D281" s="1" t="s">
        <v>26</v>
      </c>
      <c r="E281" s="1" t="s">
        <v>51</v>
      </c>
      <c r="F281" s="1" t="s">
        <v>41</v>
      </c>
      <c r="G281" s="1" t="s">
        <v>339</v>
      </c>
      <c r="H281">
        <v>280</v>
      </c>
      <c r="I281" s="1" t="s">
        <v>30</v>
      </c>
      <c r="J281" s="1" t="s">
        <v>76</v>
      </c>
      <c r="K281" s="1" t="s">
        <v>50</v>
      </c>
      <c r="L281" s="1" t="s">
        <v>23</v>
      </c>
      <c r="M281">
        <v>35</v>
      </c>
      <c r="N281">
        <v>74314</v>
      </c>
      <c r="O281">
        <v>3</v>
      </c>
      <c r="P281">
        <v>1</v>
      </c>
      <c r="Q281">
        <v>17</v>
      </c>
      <c r="R281">
        <v>35</v>
      </c>
      <c r="S281">
        <v>4</v>
      </c>
      <c r="T281">
        <v>2</v>
      </c>
      <c r="U281">
        <v>3</v>
      </c>
      <c r="V281">
        <v>2</v>
      </c>
      <c r="W281">
        <v>4</v>
      </c>
    </row>
    <row r="282" spans="1:23" x14ac:dyDescent="0.25">
      <c r="A282" s="1" t="s">
        <v>23</v>
      </c>
      <c r="B282" s="1" t="s">
        <v>54</v>
      </c>
      <c r="C282" s="1" t="s">
        <v>34</v>
      </c>
      <c r="D282" s="1" t="s">
        <v>26</v>
      </c>
      <c r="E282" s="1" t="s">
        <v>27</v>
      </c>
      <c r="F282" s="1" t="s">
        <v>28</v>
      </c>
      <c r="G282" s="1" t="s">
        <v>340</v>
      </c>
      <c r="H282">
        <v>281</v>
      </c>
      <c r="I282" s="1" t="s">
        <v>30</v>
      </c>
      <c r="J282" s="1" t="s">
        <v>76</v>
      </c>
      <c r="K282" s="1" t="s">
        <v>38</v>
      </c>
      <c r="L282" s="1" t="s">
        <v>33</v>
      </c>
      <c r="M282">
        <v>57</v>
      </c>
      <c r="N282">
        <v>122804</v>
      </c>
      <c r="O282">
        <v>2</v>
      </c>
      <c r="P282">
        <v>1</v>
      </c>
      <c r="Q282">
        <v>20</v>
      </c>
      <c r="R282">
        <v>30</v>
      </c>
      <c r="S282">
        <v>1</v>
      </c>
      <c r="T282">
        <v>4</v>
      </c>
      <c r="U282">
        <v>3</v>
      </c>
      <c r="V282">
        <v>20</v>
      </c>
      <c r="W282">
        <v>3</v>
      </c>
    </row>
    <row r="283" spans="1:23" x14ac:dyDescent="0.25">
      <c r="A283" s="1" t="s">
        <v>23</v>
      </c>
      <c r="B283" s="1" t="s">
        <v>24</v>
      </c>
      <c r="C283" s="1" t="s">
        <v>65</v>
      </c>
      <c r="D283" s="1" t="s">
        <v>26</v>
      </c>
      <c r="E283" s="1" t="s">
        <v>40</v>
      </c>
      <c r="F283" s="1" t="s">
        <v>66</v>
      </c>
      <c r="G283" s="1" t="s">
        <v>341</v>
      </c>
      <c r="H283">
        <v>282</v>
      </c>
      <c r="I283" s="1" t="s">
        <v>36</v>
      </c>
      <c r="J283" s="1" t="s">
        <v>37</v>
      </c>
      <c r="K283" s="1" t="s">
        <v>38</v>
      </c>
      <c r="L283" s="1" t="s">
        <v>23</v>
      </c>
      <c r="M283">
        <v>28</v>
      </c>
      <c r="N283">
        <v>77432</v>
      </c>
      <c r="O283">
        <v>1</v>
      </c>
      <c r="P283">
        <v>4</v>
      </c>
      <c r="Q283">
        <v>3</v>
      </c>
      <c r="R283">
        <v>19</v>
      </c>
      <c r="S283">
        <v>4</v>
      </c>
      <c r="T283">
        <v>1</v>
      </c>
      <c r="U283">
        <v>4</v>
      </c>
      <c r="V283">
        <v>18</v>
      </c>
      <c r="W283">
        <v>5</v>
      </c>
    </row>
    <row r="284" spans="1:23" x14ac:dyDescent="0.25">
      <c r="A284" s="1" t="s">
        <v>23</v>
      </c>
      <c r="B284" s="1" t="s">
        <v>24</v>
      </c>
      <c r="C284" s="1" t="s">
        <v>39</v>
      </c>
      <c r="D284" s="1" t="s">
        <v>26</v>
      </c>
      <c r="E284" s="1" t="s">
        <v>55</v>
      </c>
      <c r="F284" s="1" t="s">
        <v>66</v>
      </c>
      <c r="G284" s="1" t="s">
        <v>342</v>
      </c>
      <c r="H284">
        <v>283</v>
      </c>
      <c r="I284" s="1" t="s">
        <v>36</v>
      </c>
      <c r="J284" s="1" t="s">
        <v>86</v>
      </c>
      <c r="K284" s="1" t="s">
        <v>32</v>
      </c>
      <c r="L284" s="1" t="s">
        <v>33</v>
      </c>
      <c r="M284">
        <v>35</v>
      </c>
      <c r="N284">
        <v>131229</v>
      </c>
      <c r="O284">
        <v>3</v>
      </c>
      <c r="P284">
        <v>4</v>
      </c>
      <c r="Q284">
        <v>9</v>
      </c>
      <c r="R284">
        <v>8</v>
      </c>
      <c r="S284">
        <v>2</v>
      </c>
      <c r="T284">
        <v>1</v>
      </c>
      <c r="U284">
        <v>4</v>
      </c>
      <c r="V284">
        <v>19</v>
      </c>
      <c r="W284">
        <v>1</v>
      </c>
    </row>
    <row r="285" spans="1:23" x14ac:dyDescent="0.25">
      <c r="A285" s="1" t="s">
        <v>23</v>
      </c>
      <c r="B285" s="1" t="s">
        <v>54</v>
      </c>
      <c r="C285" s="1" t="s">
        <v>34</v>
      </c>
      <c r="D285" s="1" t="s">
        <v>26</v>
      </c>
      <c r="E285" s="1" t="s">
        <v>40</v>
      </c>
      <c r="F285" s="1" t="s">
        <v>68</v>
      </c>
      <c r="G285" s="1" t="s">
        <v>343</v>
      </c>
      <c r="H285">
        <v>284</v>
      </c>
      <c r="I285" s="1" t="s">
        <v>30</v>
      </c>
      <c r="J285" s="1" t="s">
        <v>70</v>
      </c>
      <c r="K285" s="1" t="s">
        <v>38</v>
      </c>
      <c r="L285" s="1" t="s">
        <v>33</v>
      </c>
      <c r="M285">
        <v>52</v>
      </c>
      <c r="N285">
        <v>121630</v>
      </c>
      <c r="O285">
        <v>2</v>
      </c>
      <c r="P285">
        <v>2</v>
      </c>
      <c r="Q285">
        <v>15</v>
      </c>
      <c r="R285">
        <v>4</v>
      </c>
      <c r="S285">
        <v>2</v>
      </c>
      <c r="T285">
        <v>4</v>
      </c>
      <c r="U285">
        <v>4</v>
      </c>
      <c r="V285">
        <v>22</v>
      </c>
      <c r="W285">
        <v>5</v>
      </c>
    </row>
    <row r="286" spans="1:23" x14ac:dyDescent="0.25">
      <c r="A286" s="1" t="s">
        <v>23</v>
      </c>
      <c r="B286" s="1" t="s">
        <v>44</v>
      </c>
      <c r="C286" s="1" t="s">
        <v>39</v>
      </c>
      <c r="D286" s="1" t="s">
        <v>26</v>
      </c>
      <c r="E286" s="1" t="s">
        <v>40</v>
      </c>
      <c r="F286" s="1" t="s">
        <v>46</v>
      </c>
      <c r="G286" s="1" t="s">
        <v>344</v>
      </c>
      <c r="H286">
        <v>285</v>
      </c>
      <c r="I286" s="1" t="s">
        <v>30</v>
      </c>
      <c r="J286" s="1" t="s">
        <v>37</v>
      </c>
      <c r="K286" s="1" t="s">
        <v>38</v>
      </c>
      <c r="L286" s="1" t="s">
        <v>33</v>
      </c>
      <c r="M286">
        <v>40</v>
      </c>
      <c r="N286">
        <v>62369</v>
      </c>
      <c r="O286">
        <v>3</v>
      </c>
      <c r="P286">
        <v>4</v>
      </c>
      <c r="Q286">
        <v>39</v>
      </c>
      <c r="R286">
        <v>9</v>
      </c>
      <c r="S286">
        <v>3</v>
      </c>
      <c r="T286">
        <v>1</v>
      </c>
      <c r="U286">
        <v>3</v>
      </c>
      <c r="V286">
        <v>7</v>
      </c>
      <c r="W286">
        <v>3</v>
      </c>
    </row>
    <row r="287" spans="1:23" x14ac:dyDescent="0.25">
      <c r="A287" s="1" t="s">
        <v>23</v>
      </c>
      <c r="B287" s="1" t="s">
        <v>24</v>
      </c>
      <c r="C287" s="1" t="s">
        <v>39</v>
      </c>
      <c r="D287" s="1" t="s">
        <v>26</v>
      </c>
      <c r="E287" s="1" t="s">
        <v>60</v>
      </c>
      <c r="F287" s="1" t="s">
        <v>52</v>
      </c>
      <c r="G287" s="1" t="s">
        <v>345</v>
      </c>
      <c r="H287">
        <v>286</v>
      </c>
      <c r="I287" s="1" t="s">
        <v>30</v>
      </c>
      <c r="J287" s="1" t="s">
        <v>48</v>
      </c>
      <c r="K287" s="1" t="s">
        <v>32</v>
      </c>
      <c r="L287" s="1" t="s">
        <v>33</v>
      </c>
      <c r="M287">
        <v>39</v>
      </c>
      <c r="N287">
        <v>21600</v>
      </c>
      <c r="O287">
        <v>3</v>
      </c>
      <c r="P287">
        <v>1</v>
      </c>
      <c r="Q287">
        <v>19</v>
      </c>
      <c r="R287">
        <v>28</v>
      </c>
      <c r="S287">
        <v>3</v>
      </c>
      <c r="T287">
        <v>1</v>
      </c>
      <c r="U287">
        <v>4</v>
      </c>
      <c r="V287">
        <v>7</v>
      </c>
      <c r="W287">
        <v>5</v>
      </c>
    </row>
    <row r="288" spans="1:23" x14ac:dyDescent="0.25">
      <c r="A288" s="1" t="s">
        <v>23</v>
      </c>
      <c r="B288" s="1" t="s">
        <v>54</v>
      </c>
      <c r="C288" s="1" t="s">
        <v>39</v>
      </c>
      <c r="D288" s="1" t="s">
        <v>26</v>
      </c>
      <c r="E288" s="1" t="s">
        <v>27</v>
      </c>
      <c r="F288" s="1" t="s">
        <v>68</v>
      </c>
      <c r="G288" s="1" t="s">
        <v>346</v>
      </c>
      <c r="H288">
        <v>287</v>
      </c>
      <c r="I288" s="1" t="s">
        <v>30</v>
      </c>
      <c r="J288" s="1" t="s">
        <v>64</v>
      </c>
      <c r="K288" s="1" t="s">
        <v>38</v>
      </c>
      <c r="L288" s="1" t="s">
        <v>33</v>
      </c>
      <c r="M288">
        <v>37</v>
      </c>
      <c r="N288">
        <v>62648</v>
      </c>
      <c r="O288">
        <v>1</v>
      </c>
      <c r="P288">
        <v>3</v>
      </c>
      <c r="Q288">
        <v>12</v>
      </c>
      <c r="R288">
        <v>39</v>
      </c>
      <c r="S288">
        <v>2</v>
      </c>
      <c r="T288">
        <v>1</v>
      </c>
      <c r="U288">
        <v>4</v>
      </c>
      <c r="V288">
        <v>21</v>
      </c>
      <c r="W288">
        <v>1</v>
      </c>
    </row>
    <row r="289" spans="1:23" x14ac:dyDescent="0.25">
      <c r="A289" s="1" t="s">
        <v>23</v>
      </c>
      <c r="B289" s="1" t="s">
        <v>54</v>
      </c>
      <c r="C289" s="1" t="s">
        <v>39</v>
      </c>
      <c r="D289" s="1" t="s">
        <v>26</v>
      </c>
      <c r="E289" s="1" t="s">
        <v>46</v>
      </c>
      <c r="F289" s="1" t="s">
        <v>46</v>
      </c>
      <c r="G289" s="1" t="s">
        <v>347</v>
      </c>
      <c r="H289">
        <v>288</v>
      </c>
      <c r="I289" s="1" t="s">
        <v>30</v>
      </c>
      <c r="J289" s="1" t="s">
        <v>64</v>
      </c>
      <c r="K289" s="1" t="s">
        <v>38</v>
      </c>
      <c r="L289" s="1" t="s">
        <v>23</v>
      </c>
      <c r="M289">
        <v>35</v>
      </c>
      <c r="N289">
        <v>117798</v>
      </c>
      <c r="O289">
        <v>1</v>
      </c>
      <c r="P289">
        <v>3</v>
      </c>
      <c r="Q289">
        <v>31</v>
      </c>
      <c r="R289">
        <v>38</v>
      </c>
      <c r="S289">
        <v>4</v>
      </c>
      <c r="T289">
        <v>1</v>
      </c>
      <c r="U289">
        <v>3</v>
      </c>
      <c r="V289">
        <v>7</v>
      </c>
      <c r="W289">
        <v>5</v>
      </c>
    </row>
    <row r="290" spans="1:23" x14ac:dyDescent="0.25">
      <c r="A290" s="1" t="s">
        <v>33</v>
      </c>
      <c r="B290" s="1" t="s">
        <v>24</v>
      </c>
      <c r="C290" s="1" t="s">
        <v>39</v>
      </c>
      <c r="D290" s="1" t="s">
        <v>73</v>
      </c>
      <c r="E290" s="1" t="s">
        <v>46</v>
      </c>
      <c r="F290" s="1" t="s">
        <v>66</v>
      </c>
      <c r="G290" s="1" t="s">
        <v>348</v>
      </c>
      <c r="H290">
        <v>289</v>
      </c>
      <c r="I290" s="1" t="s">
        <v>30</v>
      </c>
      <c r="J290" s="1" t="s">
        <v>59</v>
      </c>
      <c r="K290" s="1" t="s">
        <v>38</v>
      </c>
      <c r="L290" s="1" t="s">
        <v>23</v>
      </c>
      <c r="M290">
        <v>52</v>
      </c>
      <c r="N290">
        <v>121127</v>
      </c>
      <c r="O290">
        <v>2</v>
      </c>
      <c r="P290">
        <v>1</v>
      </c>
      <c r="Q290">
        <v>22</v>
      </c>
      <c r="R290">
        <v>22</v>
      </c>
      <c r="S290">
        <v>2</v>
      </c>
      <c r="T290">
        <v>3</v>
      </c>
      <c r="U290">
        <v>3</v>
      </c>
      <c r="V290">
        <v>17</v>
      </c>
      <c r="W290">
        <v>3</v>
      </c>
    </row>
    <row r="291" spans="1:23" x14ac:dyDescent="0.25">
      <c r="A291" s="1" t="s">
        <v>23</v>
      </c>
      <c r="B291" s="1" t="s">
        <v>24</v>
      </c>
      <c r="C291" s="1" t="s">
        <v>39</v>
      </c>
      <c r="D291" s="1" t="s">
        <v>26</v>
      </c>
      <c r="E291" s="1" t="s">
        <v>40</v>
      </c>
      <c r="F291" s="1" t="s">
        <v>41</v>
      </c>
      <c r="G291" s="1" t="s">
        <v>349</v>
      </c>
      <c r="H291">
        <v>290</v>
      </c>
      <c r="I291" s="1" t="s">
        <v>36</v>
      </c>
      <c r="J291" s="1" t="s">
        <v>48</v>
      </c>
      <c r="K291" s="1" t="s">
        <v>50</v>
      </c>
      <c r="L291" s="1" t="s">
        <v>23</v>
      </c>
      <c r="M291">
        <v>46</v>
      </c>
      <c r="N291">
        <v>53982</v>
      </c>
      <c r="O291">
        <v>1</v>
      </c>
      <c r="P291">
        <v>4</v>
      </c>
      <c r="Q291">
        <v>33</v>
      </c>
      <c r="R291">
        <v>39</v>
      </c>
      <c r="S291">
        <v>6</v>
      </c>
      <c r="T291">
        <v>2</v>
      </c>
      <c r="U291">
        <v>4</v>
      </c>
      <c r="V291">
        <v>8</v>
      </c>
      <c r="W291">
        <v>5</v>
      </c>
    </row>
    <row r="292" spans="1:23" x14ac:dyDescent="0.25">
      <c r="A292" s="1" t="s">
        <v>23</v>
      </c>
      <c r="B292" s="1" t="s">
        <v>44</v>
      </c>
      <c r="C292" s="1" t="s">
        <v>57</v>
      </c>
      <c r="D292" s="1" t="s">
        <v>26</v>
      </c>
      <c r="E292" s="1" t="s">
        <v>51</v>
      </c>
      <c r="F292" s="1" t="s">
        <v>68</v>
      </c>
      <c r="G292" s="1" t="s">
        <v>350</v>
      </c>
      <c r="H292">
        <v>291</v>
      </c>
      <c r="I292" s="1" t="s">
        <v>30</v>
      </c>
      <c r="J292" s="1" t="s">
        <v>48</v>
      </c>
      <c r="K292" s="1" t="s">
        <v>32</v>
      </c>
      <c r="L292" s="1" t="s">
        <v>33</v>
      </c>
      <c r="M292">
        <v>58</v>
      </c>
      <c r="N292">
        <v>159912</v>
      </c>
      <c r="O292">
        <v>2</v>
      </c>
      <c r="P292">
        <v>2</v>
      </c>
      <c r="Q292">
        <v>19</v>
      </c>
      <c r="R292">
        <v>33</v>
      </c>
      <c r="S292">
        <v>1</v>
      </c>
      <c r="T292">
        <v>4</v>
      </c>
      <c r="U292">
        <v>3</v>
      </c>
      <c r="V292">
        <v>21</v>
      </c>
      <c r="W292">
        <v>5</v>
      </c>
    </row>
    <row r="293" spans="1:23" x14ac:dyDescent="0.25">
      <c r="A293" s="1" t="s">
        <v>33</v>
      </c>
      <c r="B293" s="1" t="s">
        <v>54</v>
      </c>
      <c r="C293" s="1" t="s">
        <v>34</v>
      </c>
      <c r="D293" s="1" t="s">
        <v>73</v>
      </c>
      <c r="E293" s="1" t="s">
        <v>51</v>
      </c>
      <c r="F293" s="1" t="s">
        <v>52</v>
      </c>
      <c r="G293" s="1" t="s">
        <v>351</v>
      </c>
      <c r="H293">
        <v>292</v>
      </c>
      <c r="I293" s="1" t="s">
        <v>30</v>
      </c>
      <c r="J293" s="1" t="s">
        <v>70</v>
      </c>
      <c r="K293" s="1" t="s">
        <v>38</v>
      </c>
      <c r="L293" s="1" t="s">
        <v>33</v>
      </c>
      <c r="M293">
        <v>22</v>
      </c>
      <c r="N293">
        <v>101542</v>
      </c>
      <c r="O293">
        <v>4</v>
      </c>
      <c r="P293">
        <v>4</v>
      </c>
      <c r="Q293">
        <v>19</v>
      </c>
      <c r="R293">
        <v>28</v>
      </c>
      <c r="S293">
        <v>5</v>
      </c>
      <c r="T293">
        <v>3</v>
      </c>
      <c r="U293">
        <v>3</v>
      </c>
      <c r="V293">
        <v>25</v>
      </c>
      <c r="W293">
        <v>2</v>
      </c>
    </row>
    <row r="294" spans="1:23" x14ac:dyDescent="0.25">
      <c r="A294" s="1" t="s">
        <v>23</v>
      </c>
      <c r="B294" s="1" t="s">
        <v>54</v>
      </c>
      <c r="C294" s="1" t="s">
        <v>34</v>
      </c>
      <c r="D294" s="1" t="s">
        <v>26</v>
      </c>
      <c r="E294" s="1" t="s">
        <v>51</v>
      </c>
      <c r="F294" s="1" t="s">
        <v>46</v>
      </c>
      <c r="G294" s="1" t="s">
        <v>352</v>
      </c>
      <c r="H294">
        <v>293</v>
      </c>
      <c r="I294" s="1" t="s">
        <v>30</v>
      </c>
      <c r="J294" s="1" t="s">
        <v>43</v>
      </c>
      <c r="K294" s="1" t="s">
        <v>50</v>
      </c>
      <c r="L294" s="1" t="s">
        <v>33</v>
      </c>
      <c r="M294">
        <v>22</v>
      </c>
      <c r="N294">
        <v>112178</v>
      </c>
      <c r="O294">
        <v>1</v>
      </c>
      <c r="P294">
        <v>4</v>
      </c>
      <c r="Q294">
        <v>8</v>
      </c>
      <c r="R294">
        <v>32</v>
      </c>
      <c r="S294">
        <v>6</v>
      </c>
      <c r="T294">
        <v>4</v>
      </c>
      <c r="U294">
        <v>4</v>
      </c>
      <c r="V294">
        <v>6</v>
      </c>
      <c r="W294">
        <v>4</v>
      </c>
    </row>
    <row r="295" spans="1:23" x14ac:dyDescent="0.25">
      <c r="A295" s="1" t="s">
        <v>23</v>
      </c>
      <c r="B295" s="1" t="s">
        <v>24</v>
      </c>
      <c r="C295" s="1" t="s">
        <v>34</v>
      </c>
      <c r="D295" s="1" t="s">
        <v>26</v>
      </c>
      <c r="E295" s="1" t="s">
        <v>55</v>
      </c>
      <c r="F295" s="1" t="s">
        <v>66</v>
      </c>
      <c r="G295" s="1" t="s">
        <v>353</v>
      </c>
      <c r="H295">
        <v>294</v>
      </c>
      <c r="I295" s="1" t="s">
        <v>36</v>
      </c>
      <c r="J295" s="1" t="s">
        <v>64</v>
      </c>
      <c r="K295" s="1" t="s">
        <v>38</v>
      </c>
      <c r="L295" s="1" t="s">
        <v>23</v>
      </c>
      <c r="M295">
        <v>35</v>
      </c>
      <c r="N295">
        <v>71171</v>
      </c>
      <c r="O295">
        <v>2</v>
      </c>
      <c r="P295">
        <v>1</v>
      </c>
      <c r="Q295">
        <v>11</v>
      </c>
      <c r="R295">
        <v>28</v>
      </c>
      <c r="S295">
        <v>6</v>
      </c>
      <c r="T295">
        <v>4</v>
      </c>
      <c r="U295">
        <v>4</v>
      </c>
      <c r="V295">
        <v>28</v>
      </c>
      <c r="W295">
        <v>4</v>
      </c>
    </row>
    <row r="296" spans="1:23" x14ac:dyDescent="0.25">
      <c r="A296" s="1" t="s">
        <v>33</v>
      </c>
      <c r="B296" s="1" t="s">
        <v>54</v>
      </c>
      <c r="C296" s="1" t="s">
        <v>34</v>
      </c>
      <c r="D296" s="1" t="s">
        <v>73</v>
      </c>
      <c r="E296" s="1" t="s">
        <v>60</v>
      </c>
      <c r="F296" s="1" t="s">
        <v>52</v>
      </c>
      <c r="G296" s="1" t="s">
        <v>354</v>
      </c>
      <c r="H296">
        <v>295</v>
      </c>
      <c r="I296" s="1" t="s">
        <v>36</v>
      </c>
      <c r="J296" s="1" t="s">
        <v>37</v>
      </c>
      <c r="K296" s="1" t="s">
        <v>38</v>
      </c>
      <c r="L296" s="1" t="s">
        <v>33</v>
      </c>
      <c r="M296">
        <v>54</v>
      </c>
      <c r="N296">
        <v>46656</v>
      </c>
      <c r="O296">
        <v>4</v>
      </c>
      <c r="P296">
        <v>4</v>
      </c>
      <c r="Q296">
        <v>2</v>
      </c>
      <c r="R296">
        <v>15</v>
      </c>
      <c r="S296">
        <v>4</v>
      </c>
      <c r="T296">
        <v>4</v>
      </c>
      <c r="U296">
        <v>3</v>
      </c>
      <c r="V296">
        <v>18</v>
      </c>
      <c r="W296">
        <v>4</v>
      </c>
    </row>
    <row r="297" spans="1:23" x14ac:dyDescent="0.25">
      <c r="A297" s="1" t="s">
        <v>23</v>
      </c>
      <c r="B297" s="1" t="s">
        <v>24</v>
      </c>
      <c r="C297" s="1" t="s">
        <v>39</v>
      </c>
      <c r="D297" s="1" t="s">
        <v>26</v>
      </c>
      <c r="E297" s="1" t="s">
        <v>60</v>
      </c>
      <c r="F297" s="1" t="s">
        <v>46</v>
      </c>
      <c r="G297" s="1" t="s">
        <v>355</v>
      </c>
      <c r="H297">
        <v>296</v>
      </c>
      <c r="I297" s="1" t="s">
        <v>36</v>
      </c>
      <c r="J297" s="1" t="s">
        <v>41</v>
      </c>
      <c r="K297" s="1" t="s">
        <v>38</v>
      </c>
      <c r="L297" s="1" t="s">
        <v>23</v>
      </c>
      <c r="M297">
        <v>50</v>
      </c>
      <c r="N297">
        <v>61643</v>
      </c>
      <c r="O297">
        <v>4</v>
      </c>
      <c r="P297">
        <v>3</v>
      </c>
      <c r="Q297">
        <v>39</v>
      </c>
      <c r="R297">
        <v>3</v>
      </c>
      <c r="S297">
        <v>5</v>
      </c>
      <c r="T297">
        <v>2</v>
      </c>
      <c r="U297">
        <v>4</v>
      </c>
      <c r="V297">
        <v>27</v>
      </c>
      <c r="W297">
        <v>4</v>
      </c>
    </row>
    <row r="298" spans="1:23" x14ac:dyDescent="0.25">
      <c r="A298" s="1" t="s">
        <v>23</v>
      </c>
      <c r="B298" s="1" t="s">
        <v>54</v>
      </c>
      <c r="C298" s="1" t="s">
        <v>39</v>
      </c>
      <c r="D298" s="1" t="s">
        <v>26</v>
      </c>
      <c r="E298" s="1" t="s">
        <v>55</v>
      </c>
      <c r="F298" s="1" t="s">
        <v>52</v>
      </c>
      <c r="G298" s="1" t="s">
        <v>356</v>
      </c>
      <c r="H298">
        <v>297</v>
      </c>
      <c r="I298" s="1" t="s">
        <v>30</v>
      </c>
      <c r="J298" s="1" t="s">
        <v>41</v>
      </c>
      <c r="K298" s="1" t="s">
        <v>38</v>
      </c>
      <c r="L298" s="1" t="s">
        <v>23</v>
      </c>
      <c r="M298">
        <v>49</v>
      </c>
      <c r="N298">
        <v>24530</v>
      </c>
      <c r="O298">
        <v>2</v>
      </c>
      <c r="P298">
        <v>4</v>
      </c>
      <c r="Q298">
        <v>37</v>
      </c>
      <c r="R298">
        <v>12</v>
      </c>
      <c r="S298">
        <v>3</v>
      </c>
      <c r="T298">
        <v>1</v>
      </c>
      <c r="U298">
        <v>4</v>
      </c>
      <c r="V298">
        <v>11</v>
      </c>
      <c r="W298">
        <v>2</v>
      </c>
    </row>
    <row r="299" spans="1:23" x14ac:dyDescent="0.25">
      <c r="A299" s="1" t="s">
        <v>23</v>
      </c>
      <c r="B299" s="1" t="s">
        <v>54</v>
      </c>
      <c r="C299" s="1" t="s">
        <v>34</v>
      </c>
      <c r="D299" s="1" t="s">
        <v>26</v>
      </c>
      <c r="E299" s="1" t="s">
        <v>60</v>
      </c>
      <c r="F299" s="1" t="s">
        <v>68</v>
      </c>
      <c r="G299" s="1" t="s">
        <v>357</v>
      </c>
      <c r="H299">
        <v>298</v>
      </c>
      <c r="I299" s="1" t="s">
        <v>36</v>
      </c>
      <c r="J299" s="1" t="s">
        <v>31</v>
      </c>
      <c r="K299" s="1" t="s">
        <v>32</v>
      </c>
      <c r="L299" s="1" t="s">
        <v>23</v>
      </c>
      <c r="M299">
        <v>53</v>
      </c>
      <c r="N299">
        <v>178451</v>
      </c>
      <c r="O299">
        <v>2</v>
      </c>
      <c r="P299">
        <v>4</v>
      </c>
      <c r="Q299">
        <v>35</v>
      </c>
      <c r="R299">
        <v>24</v>
      </c>
      <c r="S299">
        <v>0</v>
      </c>
      <c r="T299">
        <v>2</v>
      </c>
      <c r="U299">
        <v>4</v>
      </c>
      <c r="V299">
        <v>19</v>
      </c>
      <c r="W299">
        <v>2</v>
      </c>
    </row>
    <row r="300" spans="1:23" x14ac:dyDescent="0.25">
      <c r="A300" s="1" t="s">
        <v>23</v>
      </c>
      <c r="B300" s="1" t="s">
        <v>24</v>
      </c>
      <c r="C300" s="1" t="s">
        <v>34</v>
      </c>
      <c r="D300" s="1" t="s">
        <v>26</v>
      </c>
      <c r="E300" s="1" t="s">
        <v>46</v>
      </c>
      <c r="F300" s="1" t="s">
        <v>68</v>
      </c>
      <c r="G300" s="1" t="s">
        <v>358</v>
      </c>
      <c r="H300">
        <v>299</v>
      </c>
      <c r="I300" s="1" t="s">
        <v>36</v>
      </c>
      <c r="J300" s="1" t="s">
        <v>76</v>
      </c>
      <c r="K300" s="1" t="s">
        <v>32</v>
      </c>
      <c r="L300" s="1" t="s">
        <v>23</v>
      </c>
      <c r="M300">
        <v>39</v>
      </c>
      <c r="N300">
        <v>65368</v>
      </c>
      <c r="O300">
        <v>1</v>
      </c>
      <c r="P300">
        <v>2</v>
      </c>
      <c r="Q300">
        <v>12</v>
      </c>
      <c r="R300">
        <v>0</v>
      </c>
      <c r="S300">
        <v>4</v>
      </c>
      <c r="T300">
        <v>3</v>
      </c>
      <c r="U300">
        <v>3</v>
      </c>
      <c r="V300">
        <v>15</v>
      </c>
      <c r="W300">
        <v>4</v>
      </c>
    </row>
    <row r="301" spans="1:23" x14ac:dyDescent="0.25">
      <c r="A301" s="1" t="s">
        <v>33</v>
      </c>
      <c r="B301" s="1" t="s">
        <v>54</v>
      </c>
      <c r="C301" s="1" t="s">
        <v>39</v>
      </c>
      <c r="D301" s="1" t="s">
        <v>73</v>
      </c>
      <c r="E301" s="1" t="s">
        <v>60</v>
      </c>
      <c r="F301" s="1" t="s">
        <v>68</v>
      </c>
      <c r="G301" s="1" t="s">
        <v>359</v>
      </c>
      <c r="H301">
        <v>300</v>
      </c>
      <c r="I301" s="1" t="s">
        <v>30</v>
      </c>
      <c r="J301" s="1" t="s">
        <v>48</v>
      </c>
      <c r="K301" s="1" t="s">
        <v>32</v>
      </c>
      <c r="L301" s="1" t="s">
        <v>23</v>
      </c>
      <c r="M301">
        <v>50</v>
      </c>
      <c r="N301">
        <v>125518</v>
      </c>
      <c r="O301">
        <v>4</v>
      </c>
      <c r="P301">
        <v>1</v>
      </c>
      <c r="Q301">
        <v>38</v>
      </c>
      <c r="R301">
        <v>38</v>
      </c>
      <c r="S301">
        <v>0</v>
      </c>
      <c r="T301">
        <v>2</v>
      </c>
      <c r="U301">
        <v>4</v>
      </c>
      <c r="V301">
        <v>20</v>
      </c>
      <c r="W301">
        <v>5</v>
      </c>
    </row>
    <row r="302" spans="1:23" x14ac:dyDescent="0.25">
      <c r="A302" s="1" t="s">
        <v>23</v>
      </c>
      <c r="B302" s="1" t="s">
        <v>24</v>
      </c>
      <c r="C302" s="1" t="s">
        <v>34</v>
      </c>
      <c r="D302" s="1" t="s">
        <v>26</v>
      </c>
      <c r="E302" s="1" t="s">
        <v>55</v>
      </c>
      <c r="F302" s="1" t="s">
        <v>66</v>
      </c>
      <c r="G302" s="1" t="s">
        <v>360</v>
      </c>
      <c r="H302">
        <v>301</v>
      </c>
      <c r="I302" s="1" t="s">
        <v>36</v>
      </c>
      <c r="J302" s="1" t="s">
        <v>64</v>
      </c>
      <c r="K302" s="1" t="s">
        <v>50</v>
      </c>
      <c r="L302" s="1" t="s">
        <v>33</v>
      </c>
      <c r="M302">
        <v>57</v>
      </c>
      <c r="N302">
        <v>176147</v>
      </c>
      <c r="O302">
        <v>3</v>
      </c>
      <c r="P302">
        <v>3</v>
      </c>
      <c r="Q302">
        <v>5</v>
      </c>
      <c r="R302">
        <v>3</v>
      </c>
      <c r="S302">
        <v>0</v>
      </c>
      <c r="T302">
        <v>4</v>
      </c>
      <c r="U302">
        <v>3</v>
      </c>
      <c r="V302">
        <v>6</v>
      </c>
      <c r="W302">
        <v>3</v>
      </c>
    </row>
    <row r="303" spans="1:23" x14ac:dyDescent="0.25">
      <c r="A303" s="1" t="s">
        <v>23</v>
      </c>
      <c r="B303" s="1" t="s">
        <v>54</v>
      </c>
      <c r="C303" s="1" t="s">
        <v>39</v>
      </c>
      <c r="D303" s="1" t="s">
        <v>26</v>
      </c>
      <c r="E303" s="1" t="s">
        <v>51</v>
      </c>
      <c r="F303" s="1" t="s">
        <v>41</v>
      </c>
      <c r="G303" s="1" t="s">
        <v>361</v>
      </c>
      <c r="H303">
        <v>302</v>
      </c>
      <c r="I303" s="1" t="s">
        <v>30</v>
      </c>
      <c r="J303" s="1" t="s">
        <v>86</v>
      </c>
      <c r="K303" s="1" t="s">
        <v>32</v>
      </c>
      <c r="L303" s="1" t="s">
        <v>23</v>
      </c>
      <c r="M303">
        <v>23</v>
      </c>
      <c r="N303">
        <v>42412</v>
      </c>
      <c r="O303">
        <v>3</v>
      </c>
      <c r="P303">
        <v>3</v>
      </c>
      <c r="Q303">
        <v>23</v>
      </c>
      <c r="R303">
        <v>24</v>
      </c>
      <c r="S303">
        <v>6</v>
      </c>
      <c r="T303">
        <v>1</v>
      </c>
      <c r="U303">
        <v>4</v>
      </c>
      <c r="V303">
        <v>27</v>
      </c>
      <c r="W303">
        <v>5</v>
      </c>
    </row>
    <row r="304" spans="1:23" x14ac:dyDescent="0.25">
      <c r="A304" s="1" t="s">
        <v>23</v>
      </c>
      <c r="B304" s="1" t="s">
        <v>54</v>
      </c>
      <c r="C304" s="1" t="s">
        <v>39</v>
      </c>
      <c r="D304" s="1" t="s">
        <v>26</v>
      </c>
      <c r="E304" s="1" t="s">
        <v>60</v>
      </c>
      <c r="F304" s="1" t="s">
        <v>46</v>
      </c>
      <c r="G304" s="1" t="s">
        <v>362</v>
      </c>
      <c r="H304">
        <v>303</v>
      </c>
      <c r="I304" s="1" t="s">
        <v>36</v>
      </c>
      <c r="J304" s="1" t="s">
        <v>59</v>
      </c>
      <c r="K304" s="1" t="s">
        <v>38</v>
      </c>
      <c r="L304" s="1" t="s">
        <v>33</v>
      </c>
      <c r="M304">
        <v>34</v>
      </c>
      <c r="N304">
        <v>178446</v>
      </c>
      <c r="O304">
        <v>1</v>
      </c>
      <c r="P304">
        <v>1</v>
      </c>
      <c r="Q304">
        <v>36</v>
      </c>
      <c r="R304">
        <v>40</v>
      </c>
      <c r="S304">
        <v>4</v>
      </c>
      <c r="T304">
        <v>1</v>
      </c>
      <c r="U304">
        <v>4</v>
      </c>
      <c r="V304">
        <v>24</v>
      </c>
      <c r="W304">
        <v>5</v>
      </c>
    </row>
    <row r="305" spans="1:23" x14ac:dyDescent="0.25">
      <c r="A305" s="1" t="s">
        <v>33</v>
      </c>
      <c r="B305" s="1" t="s">
        <v>44</v>
      </c>
      <c r="C305" s="1" t="s">
        <v>57</v>
      </c>
      <c r="D305" s="1" t="s">
        <v>73</v>
      </c>
      <c r="E305" s="1" t="s">
        <v>27</v>
      </c>
      <c r="F305" s="1" t="s">
        <v>41</v>
      </c>
      <c r="G305" s="1" t="s">
        <v>363</v>
      </c>
      <c r="H305">
        <v>304</v>
      </c>
      <c r="I305" s="1" t="s">
        <v>36</v>
      </c>
      <c r="J305" s="1" t="s">
        <v>76</v>
      </c>
      <c r="K305" s="1" t="s">
        <v>32</v>
      </c>
      <c r="L305" s="1" t="s">
        <v>23</v>
      </c>
      <c r="M305">
        <v>29</v>
      </c>
      <c r="N305">
        <v>179032</v>
      </c>
      <c r="O305">
        <v>4</v>
      </c>
      <c r="P305">
        <v>4</v>
      </c>
      <c r="Q305">
        <v>31</v>
      </c>
      <c r="R305">
        <v>11</v>
      </c>
      <c r="S305">
        <v>4</v>
      </c>
      <c r="T305">
        <v>2</v>
      </c>
      <c r="U305">
        <v>4</v>
      </c>
      <c r="V305">
        <v>7</v>
      </c>
      <c r="W305">
        <v>1</v>
      </c>
    </row>
    <row r="306" spans="1:23" x14ac:dyDescent="0.25">
      <c r="A306" s="1" t="s">
        <v>23</v>
      </c>
      <c r="B306" s="1" t="s">
        <v>54</v>
      </c>
      <c r="C306" s="1" t="s">
        <v>39</v>
      </c>
      <c r="D306" s="1" t="s">
        <v>26</v>
      </c>
      <c r="E306" s="1" t="s">
        <v>60</v>
      </c>
      <c r="F306" s="1" t="s">
        <v>28</v>
      </c>
      <c r="G306" s="1" t="s">
        <v>364</v>
      </c>
      <c r="H306">
        <v>305</v>
      </c>
      <c r="I306" s="1" t="s">
        <v>36</v>
      </c>
      <c r="J306" s="1" t="s">
        <v>41</v>
      </c>
      <c r="K306" s="1" t="s">
        <v>50</v>
      </c>
      <c r="L306" s="1" t="s">
        <v>23</v>
      </c>
      <c r="M306">
        <v>43</v>
      </c>
      <c r="N306">
        <v>164909</v>
      </c>
      <c r="O306">
        <v>2</v>
      </c>
      <c r="P306">
        <v>1</v>
      </c>
      <c r="Q306">
        <v>40</v>
      </c>
      <c r="R306">
        <v>12</v>
      </c>
      <c r="S306">
        <v>5</v>
      </c>
      <c r="T306">
        <v>3</v>
      </c>
      <c r="U306">
        <v>4</v>
      </c>
      <c r="V306">
        <v>26</v>
      </c>
      <c r="W306">
        <v>1</v>
      </c>
    </row>
    <row r="307" spans="1:23" x14ac:dyDescent="0.25">
      <c r="A307" s="1" t="s">
        <v>23</v>
      </c>
      <c r="B307" s="1" t="s">
        <v>24</v>
      </c>
      <c r="C307" s="1" t="s">
        <v>39</v>
      </c>
      <c r="D307" s="1" t="s">
        <v>26</v>
      </c>
      <c r="E307" s="1" t="s">
        <v>27</v>
      </c>
      <c r="F307" s="1" t="s">
        <v>66</v>
      </c>
      <c r="G307" s="1" t="s">
        <v>365</v>
      </c>
      <c r="H307">
        <v>306</v>
      </c>
      <c r="I307" s="1" t="s">
        <v>36</v>
      </c>
      <c r="J307" s="1" t="s">
        <v>37</v>
      </c>
      <c r="K307" s="1" t="s">
        <v>38</v>
      </c>
      <c r="L307" s="1" t="s">
        <v>33</v>
      </c>
      <c r="M307">
        <v>32</v>
      </c>
      <c r="N307">
        <v>68860</v>
      </c>
      <c r="O307">
        <v>3</v>
      </c>
      <c r="P307">
        <v>3</v>
      </c>
      <c r="Q307">
        <v>30</v>
      </c>
      <c r="R307">
        <v>30</v>
      </c>
      <c r="S307">
        <v>6</v>
      </c>
      <c r="T307">
        <v>1</v>
      </c>
      <c r="U307">
        <v>3</v>
      </c>
      <c r="V307">
        <v>16</v>
      </c>
      <c r="W307">
        <v>2</v>
      </c>
    </row>
    <row r="308" spans="1:23" x14ac:dyDescent="0.25">
      <c r="A308" s="1" t="s">
        <v>23</v>
      </c>
      <c r="B308" s="1" t="s">
        <v>44</v>
      </c>
      <c r="C308" s="1" t="s">
        <v>65</v>
      </c>
      <c r="D308" s="1" t="s">
        <v>26</v>
      </c>
      <c r="E308" s="1" t="s">
        <v>51</v>
      </c>
      <c r="F308" s="1" t="s">
        <v>68</v>
      </c>
      <c r="G308" s="1" t="s">
        <v>366</v>
      </c>
      <c r="H308">
        <v>307</v>
      </c>
      <c r="I308" s="1" t="s">
        <v>36</v>
      </c>
      <c r="J308" s="1" t="s">
        <v>64</v>
      </c>
      <c r="K308" s="1" t="s">
        <v>32</v>
      </c>
      <c r="L308" s="1" t="s">
        <v>23</v>
      </c>
      <c r="M308">
        <v>57</v>
      </c>
      <c r="N308">
        <v>100707</v>
      </c>
      <c r="O308">
        <v>1</v>
      </c>
      <c r="P308">
        <v>2</v>
      </c>
      <c r="Q308">
        <v>36</v>
      </c>
      <c r="R308">
        <v>21</v>
      </c>
      <c r="S308">
        <v>6</v>
      </c>
      <c r="T308">
        <v>3</v>
      </c>
      <c r="U308">
        <v>3</v>
      </c>
      <c r="V308">
        <v>5</v>
      </c>
      <c r="W308">
        <v>3</v>
      </c>
    </row>
    <row r="309" spans="1:23" x14ac:dyDescent="0.25">
      <c r="A309" s="1" t="s">
        <v>33</v>
      </c>
      <c r="B309" s="1" t="s">
        <v>54</v>
      </c>
      <c r="C309" s="1" t="s">
        <v>34</v>
      </c>
      <c r="D309" s="1" t="s">
        <v>73</v>
      </c>
      <c r="E309" s="1" t="s">
        <v>40</v>
      </c>
      <c r="F309" s="1" t="s">
        <v>41</v>
      </c>
      <c r="G309" s="1" t="s">
        <v>367</v>
      </c>
      <c r="H309">
        <v>308</v>
      </c>
      <c r="I309" s="1" t="s">
        <v>30</v>
      </c>
      <c r="J309" s="1" t="s">
        <v>43</v>
      </c>
      <c r="K309" s="1" t="s">
        <v>32</v>
      </c>
      <c r="L309" s="1" t="s">
        <v>23</v>
      </c>
      <c r="M309">
        <v>32</v>
      </c>
      <c r="N309">
        <v>174025</v>
      </c>
      <c r="O309">
        <v>1</v>
      </c>
      <c r="P309">
        <v>3</v>
      </c>
      <c r="Q309">
        <v>20</v>
      </c>
      <c r="R309">
        <v>2</v>
      </c>
      <c r="S309">
        <v>2</v>
      </c>
      <c r="T309">
        <v>4</v>
      </c>
      <c r="U309">
        <v>3</v>
      </c>
      <c r="V309">
        <v>16</v>
      </c>
      <c r="W309">
        <v>2</v>
      </c>
    </row>
    <row r="310" spans="1:23" x14ac:dyDescent="0.25">
      <c r="A310" s="1" t="s">
        <v>23</v>
      </c>
      <c r="B310" s="1" t="s">
        <v>24</v>
      </c>
      <c r="C310" s="1" t="s">
        <v>65</v>
      </c>
      <c r="D310" s="1" t="s">
        <v>26</v>
      </c>
      <c r="E310" s="1" t="s">
        <v>27</v>
      </c>
      <c r="F310" s="1" t="s">
        <v>41</v>
      </c>
      <c r="G310" s="1" t="s">
        <v>368</v>
      </c>
      <c r="H310">
        <v>309</v>
      </c>
      <c r="I310" s="1" t="s">
        <v>36</v>
      </c>
      <c r="J310" s="1" t="s">
        <v>70</v>
      </c>
      <c r="K310" s="1" t="s">
        <v>50</v>
      </c>
      <c r="L310" s="1" t="s">
        <v>23</v>
      </c>
      <c r="M310">
        <v>23</v>
      </c>
      <c r="N310">
        <v>70978</v>
      </c>
      <c r="O310">
        <v>1</v>
      </c>
      <c r="P310">
        <v>4</v>
      </c>
      <c r="Q310">
        <v>32</v>
      </c>
      <c r="R310">
        <v>1</v>
      </c>
      <c r="S310">
        <v>6</v>
      </c>
      <c r="T310">
        <v>4</v>
      </c>
      <c r="U310">
        <v>3</v>
      </c>
      <c r="V310">
        <v>7</v>
      </c>
      <c r="W310">
        <v>3</v>
      </c>
    </row>
    <row r="311" spans="1:23" x14ac:dyDescent="0.25">
      <c r="A311" s="1" t="s">
        <v>33</v>
      </c>
      <c r="B311" s="1" t="s">
        <v>44</v>
      </c>
      <c r="C311" s="1" t="s">
        <v>39</v>
      </c>
      <c r="D311" s="1" t="s">
        <v>73</v>
      </c>
      <c r="E311" s="1" t="s">
        <v>51</v>
      </c>
      <c r="F311" s="1" t="s">
        <v>46</v>
      </c>
      <c r="G311" s="1" t="s">
        <v>369</v>
      </c>
      <c r="H311">
        <v>310</v>
      </c>
      <c r="I311" s="1" t="s">
        <v>30</v>
      </c>
      <c r="J311" s="1" t="s">
        <v>31</v>
      </c>
      <c r="K311" s="1" t="s">
        <v>32</v>
      </c>
      <c r="L311" s="1" t="s">
        <v>33</v>
      </c>
      <c r="M311">
        <v>34</v>
      </c>
      <c r="N311">
        <v>27582</v>
      </c>
      <c r="O311">
        <v>4</v>
      </c>
      <c r="P311">
        <v>4</v>
      </c>
      <c r="Q311">
        <v>33</v>
      </c>
      <c r="R311">
        <v>7</v>
      </c>
      <c r="S311">
        <v>0</v>
      </c>
      <c r="T311">
        <v>3</v>
      </c>
      <c r="U311">
        <v>3</v>
      </c>
      <c r="V311">
        <v>22</v>
      </c>
      <c r="W311">
        <v>5</v>
      </c>
    </row>
    <row r="312" spans="1:23" x14ac:dyDescent="0.25">
      <c r="A312" s="1" t="s">
        <v>33</v>
      </c>
      <c r="B312" s="1" t="s">
        <v>24</v>
      </c>
      <c r="C312" s="1" t="s">
        <v>34</v>
      </c>
      <c r="D312" s="1" t="s">
        <v>73</v>
      </c>
      <c r="E312" s="1" t="s">
        <v>60</v>
      </c>
      <c r="F312" s="1" t="s">
        <v>41</v>
      </c>
      <c r="G312" s="1" t="s">
        <v>370</v>
      </c>
      <c r="H312">
        <v>311</v>
      </c>
      <c r="I312" s="1" t="s">
        <v>36</v>
      </c>
      <c r="J312" s="1" t="s">
        <v>64</v>
      </c>
      <c r="K312" s="1" t="s">
        <v>32</v>
      </c>
      <c r="L312" s="1" t="s">
        <v>23</v>
      </c>
      <c r="M312">
        <v>34</v>
      </c>
      <c r="N312">
        <v>102116</v>
      </c>
      <c r="O312">
        <v>2</v>
      </c>
      <c r="P312">
        <v>2</v>
      </c>
      <c r="Q312">
        <v>18</v>
      </c>
      <c r="R312">
        <v>17</v>
      </c>
      <c r="S312">
        <v>4</v>
      </c>
      <c r="T312">
        <v>3</v>
      </c>
      <c r="U312">
        <v>4</v>
      </c>
      <c r="V312">
        <v>22</v>
      </c>
      <c r="W312">
        <v>1</v>
      </c>
    </row>
    <row r="313" spans="1:23" x14ac:dyDescent="0.25">
      <c r="A313" s="1" t="s">
        <v>23</v>
      </c>
      <c r="B313" s="1" t="s">
        <v>24</v>
      </c>
      <c r="C313" s="1" t="s">
        <v>34</v>
      </c>
      <c r="D313" s="1" t="s">
        <v>26</v>
      </c>
      <c r="E313" s="1" t="s">
        <v>60</v>
      </c>
      <c r="F313" s="1" t="s">
        <v>41</v>
      </c>
      <c r="G313" s="1" t="s">
        <v>371</v>
      </c>
      <c r="H313">
        <v>312</v>
      </c>
      <c r="I313" s="1" t="s">
        <v>30</v>
      </c>
      <c r="J313" s="1" t="s">
        <v>48</v>
      </c>
      <c r="K313" s="1" t="s">
        <v>32</v>
      </c>
      <c r="L313" s="1" t="s">
        <v>23</v>
      </c>
      <c r="M313">
        <v>56</v>
      </c>
      <c r="N313">
        <v>101488</v>
      </c>
      <c r="O313">
        <v>3</v>
      </c>
      <c r="P313">
        <v>2</v>
      </c>
      <c r="Q313">
        <v>18</v>
      </c>
      <c r="R313">
        <v>36</v>
      </c>
      <c r="S313">
        <v>1</v>
      </c>
      <c r="T313">
        <v>2</v>
      </c>
      <c r="U313">
        <v>3</v>
      </c>
      <c r="V313">
        <v>10</v>
      </c>
      <c r="W313">
        <v>5</v>
      </c>
    </row>
    <row r="314" spans="1:23" x14ac:dyDescent="0.25">
      <c r="A314" s="1" t="s">
        <v>33</v>
      </c>
      <c r="B314" s="1" t="s">
        <v>24</v>
      </c>
      <c r="C314" s="1" t="s">
        <v>39</v>
      </c>
      <c r="D314" s="1" t="s">
        <v>73</v>
      </c>
      <c r="E314" s="1" t="s">
        <v>60</v>
      </c>
      <c r="F314" s="1" t="s">
        <v>66</v>
      </c>
      <c r="G314" s="1" t="s">
        <v>372</v>
      </c>
      <c r="H314">
        <v>313</v>
      </c>
      <c r="I314" s="1" t="s">
        <v>36</v>
      </c>
      <c r="J314" s="1" t="s">
        <v>64</v>
      </c>
      <c r="K314" s="1" t="s">
        <v>50</v>
      </c>
      <c r="L314" s="1" t="s">
        <v>23</v>
      </c>
      <c r="M314">
        <v>24</v>
      </c>
      <c r="N314">
        <v>40575</v>
      </c>
      <c r="O314">
        <v>4</v>
      </c>
      <c r="P314">
        <v>4</v>
      </c>
      <c r="Q314">
        <v>11</v>
      </c>
      <c r="R314">
        <v>38</v>
      </c>
      <c r="S314">
        <v>4</v>
      </c>
      <c r="T314">
        <v>4</v>
      </c>
      <c r="U314">
        <v>4</v>
      </c>
      <c r="V314">
        <v>10</v>
      </c>
      <c r="W314">
        <v>3</v>
      </c>
    </row>
    <row r="315" spans="1:23" x14ac:dyDescent="0.25">
      <c r="A315" s="1" t="s">
        <v>23</v>
      </c>
      <c r="B315" s="1" t="s">
        <v>54</v>
      </c>
      <c r="C315" s="1" t="s">
        <v>39</v>
      </c>
      <c r="D315" s="1" t="s">
        <v>26</v>
      </c>
      <c r="E315" s="1" t="s">
        <v>46</v>
      </c>
      <c r="F315" s="1" t="s">
        <v>66</v>
      </c>
      <c r="G315" s="1" t="s">
        <v>373</v>
      </c>
      <c r="H315">
        <v>314</v>
      </c>
      <c r="I315" s="1" t="s">
        <v>36</v>
      </c>
      <c r="J315" s="1" t="s">
        <v>43</v>
      </c>
      <c r="K315" s="1" t="s">
        <v>50</v>
      </c>
      <c r="L315" s="1" t="s">
        <v>33</v>
      </c>
      <c r="M315">
        <v>50</v>
      </c>
      <c r="N315">
        <v>43496</v>
      </c>
      <c r="O315">
        <v>4</v>
      </c>
      <c r="P315">
        <v>3</v>
      </c>
      <c r="Q315">
        <v>29</v>
      </c>
      <c r="R315">
        <v>30</v>
      </c>
      <c r="S315">
        <v>1</v>
      </c>
      <c r="T315">
        <v>2</v>
      </c>
      <c r="U315">
        <v>3</v>
      </c>
      <c r="V315">
        <v>28</v>
      </c>
      <c r="W315">
        <v>5</v>
      </c>
    </row>
    <row r="316" spans="1:23" x14ac:dyDescent="0.25">
      <c r="A316" s="1" t="s">
        <v>23</v>
      </c>
      <c r="B316" s="1" t="s">
        <v>54</v>
      </c>
      <c r="C316" s="1" t="s">
        <v>34</v>
      </c>
      <c r="D316" s="1" t="s">
        <v>26</v>
      </c>
      <c r="E316" s="1" t="s">
        <v>55</v>
      </c>
      <c r="F316" s="1" t="s">
        <v>52</v>
      </c>
      <c r="G316" s="1" t="s">
        <v>374</v>
      </c>
      <c r="H316">
        <v>315</v>
      </c>
      <c r="I316" s="1" t="s">
        <v>36</v>
      </c>
      <c r="J316" s="1" t="s">
        <v>37</v>
      </c>
      <c r="K316" s="1" t="s">
        <v>38</v>
      </c>
      <c r="L316" s="1" t="s">
        <v>23</v>
      </c>
      <c r="M316">
        <v>22</v>
      </c>
      <c r="N316">
        <v>35135</v>
      </c>
      <c r="O316">
        <v>4</v>
      </c>
      <c r="P316">
        <v>1</v>
      </c>
      <c r="Q316">
        <v>22</v>
      </c>
      <c r="R316">
        <v>30</v>
      </c>
      <c r="S316">
        <v>3</v>
      </c>
      <c r="T316">
        <v>2</v>
      </c>
      <c r="U316">
        <v>4</v>
      </c>
      <c r="V316">
        <v>25</v>
      </c>
      <c r="W316">
        <v>3</v>
      </c>
    </row>
    <row r="317" spans="1:23" x14ac:dyDescent="0.25">
      <c r="A317" s="1" t="s">
        <v>23</v>
      </c>
      <c r="B317" s="1" t="s">
        <v>44</v>
      </c>
      <c r="C317" s="1" t="s">
        <v>34</v>
      </c>
      <c r="D317" s="1" t="s">
        <v>26</v>
      </c>
      <c r="E317" s="1" t="s">
        <v>60</v>
      </c>
      <c r="F317" s="1" t="s">
        <v>52</v>
      </c>
      <c r="G317" s="1" t="s">
        <v>375</v>
      </c>
      <c r="H317">
        <v>316</v>
      </c>
      <c r="I317" s="1" t="s">
        <v>30</v>
      </c>
      <c r="J317" s="1" t="s">
        <v>37</v>
      </c>
      <c r="K317" s="1" t="s">
        <v>32</v>
      </c>
      <c r="L317" s="1" t="s">
        <v>33</v>
      </c>
      <c r="M317">
        <v>40</v>
      </c>
      <c r="N317">
        <v>157656</v>
      </c>
      <c r="O317">
        <v>4</v>
      </c>
      <c r="P317">
        <v>4</v>
      </c>
      <c r="Q317">
        <v>37</v>
      </c>
      <c r="R317">
        <v>26</v>
      </c>
      <c r="S317">
        <v>1</v>
      </c>
      <c r="T317">
        <v>2</v>
      </c>
      <c r="U317">
        <v>3</v>
      </c>
      <c r="V317">
        <v>16</v>
      </c>
      <c r="W317">
        <v>4</v>
      </c>
    </row>
    <row r="318" spans="1:23" x14ac:dyDescent="0.25">
      <c r="A318" s="1" t="s">
        <v>23</v>
      </c>
      <c r="B318" s="1" t="s">
        <v>54</v>
      </c>
      <c r="C318" s="1" t="s">
        <v>34</v>
      </c>
      <c r="D318" s="1" t="s">
        <v>26</v>
      </c>
      <c r="E318" s="1" t="s">
        <v>46</v>
      </c>
      <c r="F318" s="1" t="s">
        <v>68</v>
      </c>
      <c r="G318" s="1" t="s">
        <v>376</v>
      </c>
      <c r="H318">
        <v>317</v>
      </c>
      <c r="I318" s="1" t="s">
        <v>36</v>
      </c>
      <c r="J318" s="1" t="s">
        <v>43</v>
      </c>
      <c r="K318" s="1" t="s">
        <v>38</v>
      </c>
      <c r="L318" s="1" t="s">
        <v>33</v>
      </c>
      <c r="M318">
        <v>32</v>
      </c>
      <c r="N318">
        <v>38419</v>
      </c>
      <c r="O318">
        <v>4</v>
      </c>
      <c r="P318">
        <v>1</v>
      </c>
      <c r="Q318">
        <v>37</v>
      </c>
      <c r="R318">
        <v>38</v>
      </c>
      <c r="S318">
        <v>3</v>
      </c>
      <c r="T318">
        <v>3</v>
      </c>
      <c r="U318">
        <v>3</v>
      </c>
      <c r="V318">
        <v>27</v>
      </c>
      <c r="W318">
        <v>4</v>
      </c>
    </row>
    <row r="319" spans="1:23" x14ac:dyDescent="0.25">
      <c r="A319" s="1" t="s">
        <v>23</v>
      </c>
      <c r="B319" s="1" t="s">
        <v>54</v>
      </c>
      <c r="C319" s="1" t="s">
        <v>57</v>
      </c>
      <c r="D319" s="1" t="s">
        <v>26</v>
      </c>
      <c r="E319" s="1" t="s">
        <v>60</v>
      </c>
      <c r="F319" s="1" t="s">
        <v>66</v>
      </c>
      <c r="G319" s="1" t="s">
        <v>377</v>
      </c>
      <c r="H319">
        <v>318</v>
      </c>
      <c r="I319" s="1" t="s">
        <v>36</v>
      </c>
      <c r="J319" s="1" t="s">
        <v>37</v>
      </c>
      <c r="K319" s="1" t="s">
        <v>38</v>
      </c>
      <c r="L319" s="1" t="s">
        <v>33</v>
      </c>
      <c r="M319">
        <v>26</v>
      </c>
      <c r="N319">
        <v>75045</v>
      </c>
      <c r="O319">
        <v>2</v>
      </c>
      <c r="P319">
        <v>1</v>
      </c>
      <c r="Q319">
        <v>9</v>
      </c>
      <c r="R319">
        <v>42</v>
      </c>
      <c r="S319">
        <v>1</v>
      </c>
      <c r="T319">
        <v>4</v>
      </c>
      <c r="U319">
        <v>4</v>
      </c>
      <c r="V319">
        <v>13</v>
      </c>
      <c r="W319">
        <v>5</v>
      </c>
    </row>
    <row r="320" spans="1:23" x14ac:dyDescent="0.25">
      <c r="A320" s="1" t="s">
        <v>23</v>
      </c>
      <c r="B320" s="1" t="s">
        <v>44</v>
      </c>
      <c r="C320" s="1" t="s">
        <v>34</v>
      </c>
      <c r="D320" s="1" t="s">
        <v>26</v>
      </c>
      <c r="E320" s="1" t="s">
        <v>46</v>
      </c>
      <c r="F320" s="1" t="s">
        <v>46</v>
      </c>
      <c r="G320" s="1" t="s">
        <v>378</v>
      </c>
      <c r="H320">
        <v>319</v>
      </c>
      <c r="I320" s="1" t="s">
        <v>36</v>
      </c>
      <c r="J320" s="1" t="s">
        <v>41</v>
      </c>
      <c r="K320" s="1" t="s">
        <v>32</v>
      </c>
      <c r="L320" s="1" t="s">
        <v>23</v>
      </c>
      <c r="M320">
        <v>26</v>
      </c>
      <c r="N320">
        <v>170758</v>
      </c>
      <c r="O320">
        <v>1</v>
      </c>
      <c r="P320">
        <v>4</v>
      </c>
      <c r="Q320">
        <v>8</v>
      </c>
      <c r="R320">
        <v>18</v>
      </c>
      <c r="S320">
        <v>0</v>
      </c>
      <c r="T320">
        <v>3</v>
      </c>
      <c r="U320">
        <v>3</v>
      </c>
      <c r="V320">
        <v>1</v>
      </c>
      <c r="W320">
        <v>5</v>
      </c>
    </row>
    <row r="321" spans="1:23" x14ac:dyDescent="0.25">
      <c r="A321" s="1" t="s">
        <v>23</v>
      </c>
      <c r="B321" s="1" t="s">
        <v>24</v>
      </c>
      <c r="C321" s="1" t="s">
        <v>34</v>
      </c>
      <c r="D321" s="1" t="s">
        <v>26</v>
      </c>
      <c r="E321" s="1" t="s">
        <v>27</v>
      </c>
      <c r="F321" s="1" t="s">
        <v>28</v>
      </c>
      <c r="G321" s="1" t="s">
        <v>379</v>
      </c>
      <c r="H321">
        <v>320</v>
      </c>
      <c r="I321" s="1" t="s">
        <v>36</v>
      </c>
      <c r="J321" s="1" t="s">
        <v>43</v>
      </c>
      <c r="K321" s="1" t="s">
        <v>38</v>
      </c>
      <c r="L321" s="1" t="s">
        <v>23</v>
      </c>
      <c r="M321">
        <v>45</v>
      </c>
      <c r="N321">
        <v>124439</v>
      </c>
      <c r="O321">
        <v>4</v>
      </c>
      <c r="P321">
        <v>4</v>
      </c>
      <c r="Q321">
        <v>34</v>
      </c>
      <c r="R321">
        <v>13</v>
      </c>
      <c r="S321">
        <v>5</v>
      </c>
      <c r="T321">
        <v>2</v>
      </c>
      <c r="U321">
        <v>4</v>
      </c>
      <c r="V321">
        <v>5</v>
      </c>
      <c r="W321">
        <v>2</v>
      </c>
    </row>
    <row r="322" spans="1:23" x14ac:dyDescent="0.25">
      <c r="A322" s="1" t="s">
        <v>23</v>
      </c>
      <c r="B322" s="1" t="s">
        <v>44</v>
      </c>
      <c r="C322" s="1" t="s">
        <v>65</v>
      </c>
      <c r="D322" s="1" t="s">
        <v>26</v>
      </c>
      <c r="E322" s="1" t="s">
        <v>27</v>
      </c>
      <c r="F322" s="1" t="s">
        <v>28</v>
      </c>
      <c r="G322" s="1" t="s">
        <v>380</v>
      </c>
      <c r="H322">
        <v>321</v>
      </c>
      <c r="I322" s="1" t="s">
        <v>36</v>
      </c>
      <c r="J322" s="1" t="s">
        <v>70</v>
      </c>
      <c r="K322" s="1" t="s">
        <v>50</v>
      </c>
      <c r="L322" s="1" t="s">
        <v>33</v>
      </c>
      <c r="M322">
        <v>25</v>
      </c>
      <c r="N322">
        <v>22117</v>
      </c>
      <c r="O322">
        <v>2</v>
      </c>
      <c r="P322">
        <v>4</v>
      </c>
      <c r="Q322">
        <v>27</v>
      </c>
      <c r="R322">
        <v>8</v>
      </c>
      <c r="S322">
        <v>0</v>
      </c>
      <c r="T322">
        <v>2</v>
      </c>
      <c r="U322">
        <v>4</v>
      </c>
      <c r="V322">
        <v>28</v>
      </c>
      <c r="W322">
        <v>4</v>
      </c>
    </row>
    <row r="323" spans="1:23" x14ac:dyDescent="0.25">
      <c r="A323" s="1" t="s">
        <v>33</v>
      </c>
      <c r="B323" s="1" t="s">
        <v>54</v>
      </c>
      <c r="C323" s="1" t="s">
        <v>39</v>
      </c>
      <c r="D323" s="1" t="s">
        <v>73</v>
      </c>
      <c r="E323" s="1" t="s">
        <v>40</v>
      </c>
      <c r="F323" s="1" t="s">
        <v>28</v>
      </c>
      <c r="G323" s="1" t="s">
        <v>381</v>
      </c>
      <c r="H323">
        <v>322</v>
      </c>
      <c r="I323" s="1" t="s">
        <v>36</v>
      </c>
      <c r="J323" s="1" t="s">
        <v>59</v>
      </c>
      <c r="K323" s="1" t="s">
        <v>38</v>
      </c>
      <c r="L323" s="1" t="s">
        <v>23</v>
      </c>
      <c r="M323">
        <v>45</v>
      </c>
      <c r="N323">
        <v>111141</v>
      </c>
      <c r="O323">
        <v>2</v>
      </c>
      <c r="P323">
        <v>2</v>
      </c>
      <c r="Q323">
        <v>27</v>
      </c>
      <c r="R323">
        <v>38</v>
      </c>
      <c r="S323">
        <v>0</v>
      </c>
      <c r="T323">
        <v>4</v>
      </c>
      <c r="U323">
        <v>3</v>
      </c>
      <c r="V323">
        <v>23</v>
      </c>
      <c r="W323">
        <v>5</v>
      </c>
    </row>
    <row r="324" spans="1:23" x14ac:dyDescent="0.25">
      <c r="A324" s="1" t="s">
        <v>23</v>
      </c>
      <c r="B324" s="1" t="s">
        <v>44</v>
      </c>
      <c r="C324" s="1" t="s">
        <v>65</v>
      </c>
      <c r="D324" s="1" t="s">
        <v>26</v>
      </c>
      <c r="E324" s="1" t="s">
        <v>51</v>
      </c>
      <c r="F324" s="1" t="s">
        <v>66</v>
      </c>
      <c r="G324" s="1" t="s">
        <v>382</v>
      </c>
      <c r="H324">
        <v>323</v>
      </c>
      <c r="I324" s="1" t="s">
        <v>30</v>
      </c>
      <c r="J324" s="1" t="s">
        <v>43</v>
      </c>
      <c r="K324" s="1" t="s">
        <v>38</v>
      </c>
      <c r="L324" s="1" t="s">
        <v>23</v>
      </c>
      <c r="M324">
        <v>28</v>
      </c>
      <c r="N324">
        <v>170113</v>
      </c>
      <c r="O324">
        <v>4</v>
      </c>
      <c r="P324">
        <v>1</v>
      </c>
      <c r="Q324">
        <v>9</v>
      </c>
      <c r="R324">
        <v>33</v>
      </c>
      <c r="S324">
        <v>6</v>
      </c>
      <c r="T324">
        <v>3</v>
      </c>
      <c r="U324">
        <v>4</v>
      </c>
      <c r="V324">
        <v>17</v>
      </c>
      <c r="W324">
        <v>1</v>
      </c>
    </row>
    <row r="325" spans="1:23" x14ac:dyDescent="0.25">
      <c r="A325" s="1" t="s">
        <v>23</v>
      </c>
      <c r="B325" s="1" t="s">
        <v>44</v>
      </c>
      <c r="C325" s="1" t="s">
        <v>39</v>
      </c>
      <c r="D325" s="1" t="s">
        <v>26</v>
      </c>
      <c r="E325" s="1" t="s">
        <v>55</v>
      </c>
      <c r="F325" s="1" t="s">
        <v>52</v>
      </c>
      <c r="G325" s="1" t="s">
        <v>383</v>
      </c>
      <c r="H325">
        <v>324</v>
      </c>
      <c r="I325" s="1" t="s">
        <v>30</v>
      </c>
      <c r="J325" s="1" t="s">
        <v>59</v>
      </c>
      <c r="K325" s="1" t="s">
        <v>32</v>
      </c>
      <c r="L325" s="1" t="s">
        <v>23</v>
      </c>
      <c r="M325">
        <v>60</v>
      </c>
      <c r="N325">
        <v>31834</v>
      </c>
      <c r="O325">
        <v>3</v>
      </c>
      <c r="P325">
        <v>1</v>
      </c>
      <c r="Q325">
        <v>30</v>
      </c>
      <c r="R325">
        <v>29</v>
      </c>
      <c r="S325">
        <v>4</v>
      </c>
      <c r="T325">
        <v>4</v>
      </c>
      <c r="U325">
        <v>4</v>
      </c>
      <c r="V325">
        <v>14</v>
      </c>
      <c r="W325">
        <v>3</v>
      </c>
    </row>
    <row r="326" spans="1:23" x14ac:dyDescent="0.25">
      <c r="A326" s="1" t="s">
        <v>33</v>
      </c>
      <c r="B326" s="1" t="s">
        <v>24</v>
      </c>
      <c r="C326" s="1" t="s">
        <v>65</v>
      </c>
      <c r="D326" s="1" t="s">
        <v>73</v>
      </c>
      <c r="E326" s="1" t="s">
        <v>27</v>
      </c>
      <c r="F326" s="1" t="s">
        <v>66</v>
      </c>
      <c r="G326" s="1" t="s">
        <v>384</v>
      </c>
      <c r="H326">
        <v>325</v>
      </c>
      <c r="I326" s="1" t="s">
        <v>36</v>
      </c>
      <c r="J326" s="1" t="s">
        <v>43</v>
      </c>
      <c r="K326" s="1" t="s">
        <v>38</v>
      </c>
      <c r="L326" s="1" t="s">
        <v>33</v>
      </c>
      <c r="M326">
        <v>51</v>
      </c>
      <c r="N326">
        <v>169556</v>
      </c>
      <c r="O326">
        <v>2</v>
      </c>
      <c r="P326">
        <v>1</v>
      </c>
      <c r="Q326">
        <v>18</v>
      </c>
      <c r="R326">
        <v>39</v>
      </c>
      <c r="S326">
        <v>0</v>
      </c>
      <c r="T326">
        <v>3</v>
      </c>
      <c r="U326">
        <v>4</v>
      </c>
      <c r="V326">
        <v>3</v>
      </c>
      <c r="W326">
        <v>2</v>
      </c>
    </row>
    <row r="327" spans="1:23" x14ac:dyDescent="0.25">
      <c r="A327" s="1" t="s">
        <v>23</v>
      </c>
      <c r="B327" s="1" t="s">
        <v>44</v>
      </c>
      <c r="C327" s="1" t="s">
        <v>65</v>
      </c>
      <c r="D327" s="1" t="s">
        <v>26</v>
      </c>
      <c r="E327" s="1" t="s">
        <v>27</v>
      </c>
      <c r="F327" s="1" t="s">
        <v>28</v>
      </c>
      <c r="G327" s="1" t="s">
        <v>385</v>
      </c>
      <c r="H327">
        <v>326</v>
      </c>
      <c r="I327" s="1" t="s">
        <v>36</v>
      </c>
      <c r="J327" s="1" t="s">
        <v>76</v>
      </c>
      <c r="K327" s="1" t="s">
        <v>38</v>
      </c>
      <c r="L327" s="1" t="s">
        <v>33</v>
      </c>
      <c r="M327">
        <v>28</v>
      </c>
      <c r="N327">
        <v>176288</v>
      </c>
      <c r="O327">
        <v>2</v>
      </c>
      <c r="P327">
        <v>2</v>
      </c>
      <c r="Q327">
        <v>28</v>
      </c>
      <c r="R327">
        <v>23</v>
      </c>
      <c r="S327">
        <v>6</v>
      </c>
      <c r="T327">
        <v>2</v>
      </c>
      <c r="U327">
        <v>4</v>
      </c>
      <c r="V327">
        <v>26</v>
      </c>
      <c r="W327">
        <v>2</v>
      </c>
    </row>
    <row r="328" spans="1:23" x14ac:dyDescent="0.25">
      <c r="A328" s="1" t="s">
        <v>23</v>
      </c>
      <c r="B328" s="1" t="s">
        <v>44</v>
      </c>
      <c r="C328" s="1" t="s">
        <v>65</v>
      </c>
      <c r="D328" s="1" t="s">
        <v>26</v>
      </c>
      <c r="E328" s="1" t="s">
        <v>60</v>
      </c>
      <c r="F328" s="1" t="s">
        <v>66</v>
      </c>
      <c r="G328" s="1" t="s">
        <v>386</v>
      </c>
      <c r="H328">
        <v>327</v>
      </c>
      <c r="I328" s="1" t="s">
        <v>30</v>
      </c>
      <c r="J328" s="1" t="s">
        <v>43</v>
      </c>
      <c r="K328" s="1" t="s">
        <v>50</v>
      </c>
      <c r="L328" s="1" t="s">
        <v>23</v>
      </c>
      <c r="M328">
        <v>47</v>
      </c>
      <c r="N328">
        <v>118444</v>
      </c>
      <c r="O328">
        <v>2</v>
      </c>
      <c r="P328">
        <v>4</v>
      </c>
      <c r="Q328">
        <v>40</v>
      </c>
      <c r="R328">
        <v>10</v>
      </c>
      <c r="S328">
        <v>1</v>
      </c>
      <c r="T328">
        <v>3</v>
      </c>
      <c r="U328">
        <v>3</v>
      </c>
      <c r="V328">
        <v>21</v>
      </c>
      <c r="W328">
        <v>3</v>
      </c>
    </row>
    <row r="329" spans="1:23" x14ac:dyDescent="0.25">
      <c r="A329" s="1" t="s">
        <v>23</v>
      </c>
      <c r="B329" s="1" t="s">
        <v>44</v>
      </c>
      <c r="C329" s="1" t="s">
        <v>34</v>
      </c>
      <c r="D329" s="1" t="s">
        <v>26</v>
      </c>
      <c r="E329" s="1" t="s">
        <v>55</v>
      </c>
      <c r="F329" s="1" t="s">
        <v>68</v>
      </c>
      <c r="G329" s="1" t="s">
        <v>387</v>
      </c>
      <c r="H329">
        <v>328</v>
      </c>
      <c r="I329" s="1" t="s">
        <v>36</v>
      </c>
      <c r="J329" s="1" t="s">
        <v>76</v>
      </c>
      <c r="K329" s="1" t="s">
        <v>38</v>
      </c>
      <c r="L329" s="1" t="s">
        <v>33</v>
      </c>
      <c r="M329">
        <v>45</v>
      </c>
      <c r="N329">
        <v>120254</v>
      </c>
      <c r="O329">
        <v>4</v>
      </c>
      <c r="P329">
        <v>3</v>
      </c>
      <c r="Q329">
        <v>9</v>
      </c>
      <c r="R329">
        <v>33</v>
      </c>
      <c r="S329">
        <v>6</v>
      </c>
      <c r="T329">
        <v>4</v>
      </c>
      <c r="U329">
        <v>3</v>
      </c>
      <c r="V329">
        <v>10</v>
      </c>
      <c r="W329">
        <v>4</v>
      </c>
    </row>
    <row r="330" spans="1:23" x14ac:dyDescent="0.25">
      <c r="A330" s="1" t="s">
        <v>23</v>
      </c>
      <c r="B330" s="1" t="s">
        <v>54</v>
      </c>
      <c r="C330" s="1" t="s">
        <v>34</v>
      </c>
      <c r="D330" s="1" t="s">
        <v>26</v>
      </c>
      <c r="E330" s="1" t="s">
        <v>51</v>
      </c>
      <c r="F330" s="1" t="s">
        <v>66</v>
      </c>
      <c r="G330" s="1" t="s">
        <v>388</v>
      </c>
      <c r="H330">
        <v>329</v>
      </c>
      <c r="I330" s="1" t="s">
        <v>30</v>
      </c>
      <c r="J330" s="1" t="s">
        <v>59</v>
      </c>
      <c r="K330" s="1" t="s">
        <v>32</v>
      </c>
      <c r="L330" s="1" t="s">
        <v>23</v>
      </c>
      <c r="M330">
        <v>48</v>
      </c>
      <c r="N330">
        <v>178035</v>
      </c>
      <c r="O330">
        <v>3</v>
      </c>
      <c r="P330">
        <v>3</v>
      </c>
      <c r="Q330">
        <v>17</v>
      </c>
      <c r="R330">
        <v>17</v>
      </c>
      <c r="S330">
        <v>6</v>
      </c>
      <c r="T330">
        <v>1</v>
      </c>
      <c r="U330">
        <v>4</v>
      </c>
      <c r="V330">
        <v>21</v>
      </c>
      <c r="W330">
        <v>5</v>
      </c>
    </row>
    <row r="331" spans="1:23" x14ac:dyDescent="0.25">
      <c r="A331" s="1" t="s">
        <v>23</v>
      </c>
      <c r="B331" s="1" t="s">
        <v>24</v>
      </c>
      <c r="C331" s="1" t="s">
        <v>65</v>
      </c>
      <c r="D331" s="1" t="s">
        <v>26</v>
      </c>
      <c r="E331" s="1" t="s">
        <v>46</v>
      </c>
      <c r="F331" s="1" t="s">
        <v>52</v>
      </c>
      <c r="G331" s="1" t="s">
        <v>389</v>
      </c>
      <c r="H331">
        <v>330</v>
      </c>
      <c r="I331" s="1" t="s">
        <v>30</v>
      </c>
      <c r="J331" s="1" t="s">
        <v>59</v>
      </c>
      <c r="K331" s="1" t="s">
        <v>38</v>
      </c>
      <c r="L331" s="1" t="s">
        <v>33</v>
      </c>
      <c r="M331">
        <v>41</v>
      </c>
      <c r="N331">
        <v>161553</v>
      </c>
      <c r="O331">
        <v>1</v>
      </c>
      <c r="P331">
        <v>1</v>
      </c>
      <c r="Q331">
        <v>4</v>
      </c>
      <c r="R331">
        <v>0</v>
      </c>
      <c r="S331">
        <v>3</v>
      </c>
      <c r="T331">
        <v>1</v>
      </c>
      <c r="U331">
        <v>3</v>
      </c>
      <c r="V331">
        <v>22</v>
      </c>
      <c r="W331">
        <v>4</v>
      </c>
    </row>
    <row r="332" spans="1:23" x14ac:dyDescent="0.25">
      <c r="A332" s="1" t="s">
        <v>23</v>
      </c>
      <c r="B332" s="1" t="s">
        <v>24</v>
      </c>
      <c r="C332" s="1" t="s">
        <v>39</v>
      </c>
      <c r="D332" s="1" t="s">
        <v>26</v>
      </c>
      <c r="E332" s="1" t="s">
        <v>27</v>
      </c>
      <c r="F332" s="1" t="s">
        <v>66</v>
      </c>
      <c r="G332" s="1" t="s">
        <v>390</v>
      </c>
      <c r="H332">
        <v>331</v>
      </c>
      <c r="I332" s="1" t="s">
        <v>30</v>
      </c>
      <c r="J332" s="1" t="s">
        <v>43</v>
      </c>
      <c r="K332" s="1" t="s">
        <v>50</v>
      </c>
      <c r="L332" s="1" t="s">
        <v>33</v>
      </c>
      <c r="M332">
        <v>59</v>
      </c>
      <c r="N332">
        <v>74839</v>
      </c>
      <c r="O332">
        <v>1</v>
      </c>
      <c r="P332">
        <v>1</v>
      </c>
      <c r="Q332">
        <v>5</v>
      </c>
      <c r="R332">
        <v>38</v>
      </c>
      <c r="S332">
        <v>1</v>
      </c>
      <c r="T332">
        <v>4</v>
      </c>
      <c r="U332">
        <v>3</v>
      </c>
      <c r="V332">
        <v>29</v>
      </c>
      <c r="W332">
        <v>1</v>
      </c>
    </row>
    <row r="333" spans="1:23" x14ac:dyDescent="0.25">
      <c r="A333" s="1" t="s">
        <v>23</v>
      </c>
      <c r="B333" s="1" t="s">
        <v>54</v>
      </c>
      <c r="C333" s="1" t="s">
        <v>34</v>
      </c>
      <c r="D333" s="1" t="s">
        <v>26</v>
      </c>
      <c r="E333" s="1" t="s">
        <v>40</v>
      </c>
      <c r="F333" s="1" t="s">
        <v>66</v>
      </c>
      <c r="G333" s="1" t="s">
        <v>391</v>
      </c>
      <c r="H333">
        <v>332</v>
      </c>
      <c r="I333" s="1" t="s">
        <v>36</v>
      </c>
      <c r="J333" s="1" t="s">
        <v>76</v>
      </c>
      <c r="K333" s="1" t="s">
        <v>38</v>
      </c>
      <c r="L333" s="1" t="s">
        <v>23</v>
      </c>
      <c r="M333">
        <v>37</v>
      </c>
      <c r="N333">
        <v>60458</v>
      </c>
      <c r="O333">
        <v>1</v>
      </c>
      <c r="P333">
        <v>3</v>
      </c>
      <c r="Q333">
        <v>3</v>
      </c>
      <c r="R333">
        <v>24</v>
      </c>
      <c r="S333">
        <v>3</v>
      </c>
      <c r="T333">
        <v>3</v>
      </c>
      <c r="U333">
        <v>3</v>
      </c>
      <c r="V333">
        <v>9</v>
      </c>
      <c r="W333">
        <v>3</v>
      </c>
    </row>
    <row r="334" spans="1:23" x14ac:dyDescent="0.25">
      <c r="A334" s="1" t="s">
        <v>23</v>
      </c>
      <c r="B334" s="1" t="s">
        <v>54</v>
      </c>
      <c r="C334" s="1" t="s">
        <v>25</v>
      </c>
      <c r="D334" s="1" t="s">
        <v>26</v>
      </c>
      <c r="E334" s="1" t="s">
        <v>55</v>
      </c>
      <c r="F334" s="1" t="s">
        <v>68</v>
      </c>
      <c r="G334" s="1" t="s">
        <v>392</v>
      </c>
      <c r="H334">
        <v>333</v>
      </c>
      <c r="I334" s="1" t="s">
        <v>30</v>
      </c>
      <c r="J334" s="1" t="s">
        <v>86</v>
      </c>
      <c r="K334" s="1" t="s">
        <v>50</v>
      </c>
      <c r="L334" s="1" t="s">
        <v>33</v>
      </c>
      <c r="M334">
        <v>55</v>
      </c>
      <c r="N334">
        <v>131050</v>
      </c>
      <c r="O334">
        <v>2</v>
      </c>
      <c r="P334">
        <v>1</v>
      </c>
      <c r="Q334">
        <v>28</v>
      </c>
      <c r="R334">
        <v>16</v>
      </c>
      <c r="S334">
        <v>0</v>
      </c>
      <c r="T334">
        <v>1</v>
      </c>
      <c r="U334">
        <v>3</v>
      </c>
      <c r="V334">
        <v>3</v>
      </c>
      <c r="W334">
        <v>5</v>
      </c>
    </row>
    <row r="335" spans="1:23" x14ac:dyDescent="0.25">
      <c r="A335" s="1" t="s">
        <v>23</v>
      </c>
      <c r="B335" s="1" t="s">
        <v>44</v>
      </c>
      <c r="C335" s="1" t="s">
        <v>65</v>
      </c>
      <c r="D335" s="1" t="s">
        <v>26</v>
      </c>
      <c r="E335" s="1" t="s">
        <v>60</v>
      </c>
      <c r="F335" s="1" t="s">
        <v>28</v>
      </c>
      <c r="G335" s="1" t="s">
        <v>393</v>
      </c>
      <c r="H335">
        <v>334</v>
      </c>
      <c r="I335" s="1" t="s">
        <v>30</v>
      </c>
      <c r="J335" s="1" t="s">
        <v>64</v>
      </c>
      <c r="K335" s="1" t="s">
        <v>32</v>
      </c>
      <c r="L335" s="1" t="s">
        <v>23</v>
      </c>
      <c r="M335">
        <v>38</v>
      </c>
      <c r="N335">
        <v>57742</v>
      </c>
      <c r="O335">
        <v>3</v>
      </c>
      <c r="P335">
        <v>4</v>
      </c>
      <c r="Q335">
        <v>36</v>
      </c>
      <c r="R335">
        <v>0</v>
      </c>
      <c r="S335">
        <v>4</v>
      </c>
      <c r="T335">
        <v>4</v>
      </c>
      <c r="U335">
        <v>4</v>
      </c>
      <c r="V335">
        <v>14</v>
      </c>
      <c r="W335">
        <v>4</v>
      </c>
    </row>
    <row r="336" spans="1:23" x14ac:dyDescent="0.25">
      <c r="A336" s="1" t="s">
        <v>33</v>
      </c>
      <c r="B336" s="1" t="s">
        <v>54</v>
      </c>
      <c r="C336" s="1" t="s">
        <v>65</v>
      </c>
      <c r="D336" s="1" t="s">
        <v>73</v>
      </c>
      <c r="E336" s="1" t="s">
        <v>60</v>
      </c>
      <c r="F336" s="1" t="s">
        <v>28</v>
      </c>
      <c r="G336" s="1" t="s">
        <v>394</v>
      </c>
      <c r="H336">
        <v>335</v>
      </c>
      <c r="I336" s="1" t="s">
        <v>30</v>
      </c>
      <c r="J336" s="1" t="s">
        <v>41</v>
      </c>
      <c r="K336" s="1" t="s">
        <v>32</v>
      </c>
      <c r="L336" s="1" t="s">
        <v>23</v>
      </c>
      <c r="M336">
        <v>28</v>
      </c>
      <c r="N336">
        <v>166699</v>
      </c>
      <c r="O336">
        <v>3</v>
      </c>
      <c r="P336">
        <v>3</v>
      </c>
      <c r="Q336">
        <v>19</v>
      </c>
      <c r="R336">
        <v>25</v>
      </c>
      <c r="S336">
        <v>0</v>
      </c>
      <c r="T336">
        <v>1</v>
      </c>
      <c r="U336">
        <v>4</v>
      </c>
      <c r="V336">
        <v>18</v>
      </c>
      <c r="W336">
        <v>3</v>
      </c>
    </row>
    <row r="337" spans="1:23" x14ac:dyDescent="0.25">
      <c r="A337" s="1" t="s">
        <v>23</v>
      </c>
      <c r="B337" s="1" t="s">
        <v>54</v>
      </c>
      <c r="C337" s="1" t="s">
        <v>39</v>
      </c>
      <c r="D337" s="1" t="s">
        <v>26</v>
      </c>
      <c r="E337" s="1" t="s">
        <v>27</v>
      </c>
      <c r="F337" s="1" t="s">
        <v>28</v>
      </c>
      <c r="G337" s="1" t="s">
        <v>395</v>
      </c>
      <c r="H337">
        <v>336</v>
      </c>
      <c r="I337" s="1" t="s">
        <v>30</v>
      </c>
      <c r="J337" s="1" t="s">
        <v>59</v>
      </c>
      <c r="K337" s="1" t="s">
        <v>50</v>
      </c>
      <c r="L337" s="1" t="s">
        <v>23</v>
      </c>
      <c r="M337">
        <v>33</v>
      </c>
      <c r="N337">
        <v>96347</v>
      </c>
      <c r="O337">
        <v>4</v>
      </c>
      <c r="P337">
        <v>1</v>
      </c>
      <c r="Q337">
        <v>40</v>
      </c>
      <c r="R337">
        <v>22</v>
      </c>
      <c r="S337">
        <v>3</v>
      </c>
      <c r="T337">
        <v>1</v>
      </c>
      <c r="U337">
        <v>4</v>
      </c>
      <c r="V337">
        <v>24</v>
      </c>
      <c r="W337">
        <v>2</v>
      </c>
    </row>
    <row r="338" spans="1:23" x14ac:dyDescent="0.25">
      <c r="A338" s="1" t="s">
        <v>23</v>
      </c>
      <c r="B338" s="1" t="s">
        <v>54</v>
      </c>
      <c r="C338" s="1" t="s">
        <v>34</v>
      </c>
      <c r="D338" s="1" t="s">
        <v>26</v>
      </c>
      <c r="E338" s="1" t="s">
        <v>46</v>
      </c>
      <c r="F338" s="1" t="s">
        <v>28</v>
      </c>
      <c r="G338" s="1" t="s">
        <v>396</v>
      </c>
      <c r="H338">
        <v>337</v>
      </c>
      <c r="I338" s="1" t="s">
        <v>36</v>
      </c>
      <c r="J338" s="1" t="s">
        <v>41</v>
      </c>
      <c r="K338" s="1" t="s">
        <v>50</v>
      </c>
      <c r="L338" s="1" t="s">
        <v>23</v>
      </c>
      <c r="M338">
        <v>52</v>
      </c>
      <c r="N338">
        <v>157969</v>
      </c>
      <c r="O338">
        <v>4</v>
      </c>
      <c r="P338">
        <v>1</v>
      </c>
      <c r="Q338">
        <v>2</v>
      </c>
      <c r="R338">
        <v>21</v>
      </c>
      <c r="S338">
        <v>0</v>
      </c>
      <c r="T338">
        <v>3</v>
      </c>
      <c r="U338">
        <v>3</v>
      </c>
      <c r="V338">
        <v>13</v>
      </c>
      <c r="W338">
        <v>1</v>
      </c>
    </row>
    <row r="339" spans="1:23" x14ac:dyDescent="0.25">
      <c r="A339" s="1" t="s">
        <v>23</v>
      </c>
      <c r="B339" s="1" t="s">
        <v>44</v>
      </c>
      <c r="C339" s="1" t="s">
        <v>39</v>
      </c>
      <c r="D339" s="1" t="s">
        <v>26</v>
      </c>
      <c r="E339" s="1" t="s">
        <v>51</v>
      </c>
      <c r="F339" s="1" t="s">
        <v>52</v>
      </c>
      <c r="G339" s="1" t="s">
        <v>397</v>
      </c>
      <c r="H339">
        <v>338</v>
      </c>
      <c r="I339" s="1" t="s">
        <v>30</v>
      </c>
      <c r="J339" s="1" t="s">
        <v>43</v>
      </c>
      <c r="K339" s="1" t="s">
        <v>50</v>
      </c>
      <c r="L339" s="1" t="s">
        <v>33</v>
      </c>
      <c r="M339">
        <v>23</v>
      </c>
      <c r="N339">
        <v>55117</v>
      </c>
      <c r="O339">
        <v>4</v>
      </c>
      <c r="P339">
        <v>1</v>
      </c>
      <c r="Q339">
        <v>30</v>
      </c>
      <c r="R339">
        <v>39</v>
      </c>
      <c r="S339">
        <v>0</v>
      </c>
      <c r="T339">
        <v>2</v>
      </c>
      <c r="U339">
        <v>3</v>
      </c>
      <c r="V339">
        <v>1</v>
      </c>
      <c r="W339">
        <v>2</v>
      </c>
    </row>
    <row r="340" spans="1:23" x14ac:dyDescent="0.25">
      <c r="A340" s="1" t="s">
        <v>23</v>
      </c>
      <c r="B340" s="1" t="s">
        <v>44</v>
      </c>
      <c r="C340" s="1" t="s">
        <v>65</v>
      </c>
      <c r="D340" s="1" t="s">
        <v>26</v>
      </c>
      <c r="E340" s="1" t="s">
        <v>60</v>
      </c>
      <c r="F340" s="1" t="s">
        <v>41</v>
      </c>
      <c r="G340" s="1" t="s">
        <v>398</v>
      </c>
      <c r="H340">
        <v>339</v>
      </c>
      <c r="I340" s="1" t="s">
        <v>30</v>
      </c>
      <c r="J340" s="1" t="s">
        <v>43</v>
      </c>
      <c r="K340" s="1" t="s">
        <v>50</v>
      </c>
      <c r="L340" s="1" t="s">
        <v>33</v>
      </c>
      <c r="M340">
        <v>28</v>
      </c>
      <c r="N340">
        <v>148323</v>
      </c>
      <c r="O340">
        <v>2</v>
      </c>
      <c r="P340">
        <v>1</v>
      </c>
      <c r="Q340">
        <v>12</v>
      </c>
      <c r="R340">
        <v>27</v>
      </c>
      <c r="S340">
        <v>2</v>
      </c>
      <c r="T340">
        <v>4</v>
      </c>
      <c r="U340">
        <v>4</v>
      </c>
      <c r="V340">
        <v>4</v>
      </c>
      <c r="W340">
        <v>5</v>
      </c>
    </row>
    <row r="341" spans="1:23" x14ac:dyDescent="0.25">
      <c r="A341" s="1" t="s">
        <v>23</v>
      </c>
      <c r="B341" s="1" t="s">
        <v>24</v>
      </c>
      <c r="C341" s="1" t="s">
        <v>34</v>
      </c>
      <c r="D341" s="1" t="s">
        <v>26</v>
      </c>
      <c r="E341" s="1" t="s">
        <v>55</v>
      </c>
      <c r="F341" s="1" t="s">
        <v>41</v>
      </c>
      <c r="G341" s="1" t="s">
        <v>399</v>
      </c>
      <c r="H341">
        <v>340</v>
      </c>
      <c r="I341" s="1" t="s">
        <v>30</v>
      </c>
      <c r="J341" s="1" t="s">
        <v>37</v>
      </c>
      <c r="K341" s="1" t="s">
        <v>50</v>
      </c>
      <c r="L341" s="1" t="s">
        <v>33</v>
      </c>
      <c r="M341">
        <v>38</v>
      </c>
      <c r="N341">
        <v>55024</v>
      </c>
      <c r="O341">
        <v>4</v>
      </c>
      <c r="P341">
        <v>2</v>
      </c>
      <c r="Q341">
        <v>23</v>
      </c>
      <c r="R341">
        <v>35</v>
      </c>
      <c r="S341">
        <v>1</v>
      </c>
      <c r="T341">
        <v>4</v>
      </c>
      <c r="U341">
        <v>3</v>
      </c>
      <c r="V341">
        <v>30</v>
      </c>
      <c r="W341">
        <v>5</v>
      </c>
    </row>
    <row r="342" spans="1:23" x14ac:dyDescent="0.25">
      <c r="A342" s="1" t="s">
        <v>23</v>
      </c>
      <c r="B342" s="1" t="s">
        <v>54</v>
      </c>
      <c r="C342" s="1" t="s">
        <v>25</v>
      </c>
      <c r="D342" s="1" t="s">
        <v>26</v>
      </c>
      <c r="E342" s="1" t="s">
        <v>46</v>
      </c>
      <c r="F342" s="1" t="s">
        <v>68</v>
      </c>
      <c r="G342" s="1" t="s">
        <v>400</v>
      </c>
      <c r="H342">
        <v>341</v>
      </c>
      <c r="I342" s="1" t="s">
        <v>30</v>
      </c>
      <c r="J342" s="1" t="s">
        <v>64</v>
      </c>
      <c r="K342" s="1" t="s">
        <v>38</v>
      </c>
      <c r="L342" s="1" t="s">
        <v>33</v>
      </c>
      <c r="M342">
        <v>21</v>
      </c>
      <c r="N342">
        <v>19893</v>
      </c>
      <c r="O342">
        <v>2</v>
      </c>
      <c r="P342">
        <v>1</v>
      </c>
      <c r="Q342">
        <v>37</v>
      </c>
      <c r="R342">
        <v>18</v>
      </c>
      <c r="S342">
        <v>3</v>
      </c>
      <c r="T342">
        <v>4</v>
      </c>
      <c r="U342">
        <v>3</v>
      </c>
      <c r="V342">
        <v>7</v>
      </c>
      <c r="W342">
        <v>2</v>
      </c>
    </row>
    <row r="343" spans="1:23" x14ac:dyDescent="0.25">
      <c r="A343" s="1" t="s">
        <v>23</v>
      </c>
      <c r="B343" s="1" t="s">
        <v>24</v>
      </c>
      <c r="C343" s="1" t="s">
        <v>39</v>
      </c>
      <c r="D343" s="1" t="s">
        <v>26</v>
      </c>
      <c r="E343" s="1" t="s">
        <v>40</v>
      </c>
      <c r="F343" s="1" t="s">
        <v>28</v>
      </c>
      <c r="G343" s="1" t="s">
        <v>401</v>
      </c>
      <c r="H343">
        <v>342</v>
      </c>
      <c r="I343" s="1" t="s">
        <v>30</v>
      </c>
      <c r="J343" s="1" t="s">
        <v>43</v>
      </c>
      <c r="K343" s="1" t="s">
        <v>50</v>
      </c>
      <c r="L343" s="1" t="s">
        <v>23</v>
      </c>
      <c r="M343">
        <v>60</v>
      </c>
      <c r="N343">
        <v>41074</v>
      </c>
      <c r="O343">
        <v>3</v>
      </c>
      <c r="P343">
        <v>3</v>
      </c>
      <c r="Q343">
        <v>26</v>
      </c>
      <c r="R343">
        <v>0</v>
      </c>
      <c r="S343">
        <v>4</v>
      </c>
      <c r="T343">
        <v>2</v>
      </c>
      <c r="U343">
        <v>3</v>
      </c>
      <c r="V343">
        <v>4</v>
      </c>
      <c r="W343">
        <v>5</v>
      </c>
    </row>
    <row r="344" spans="1:23" x14ac:dyDescent="0.25">
      <c r="A344" s="1" t="s">
        <v>33</v>
      </c>
      <c r="B344" s="1" t="s">
        <v>54</v>
      </c>
      <c r="C344" s="1" t="s">
        <v>39</v>
      </c>
      <c r="D344" s="1" t="s">
        <v>73</v>
      </c>
      <c r="E344" s="1" t="s">
        <v>51</v>
      </c>
      <c r="F344" s="1" t="s">
        <v>28</v>
      </c>
      <c r="G344" s="1" t="s">
        <v>402</v>
      </c>
      <c r="H344">
        <v>343</v>
      </c>
      <c r="I344" s="1" t="s">
        <v>36</v>
      </c>
      <c r="J344" s="1" t="s">
        <v>48</v>
      </c>
      <c r="K344" s="1" t="s">
        <v>38</v>
      </c>
      <c r="L344" s="1" t="s">
        <v>33</v>
      </c>
      <c r="M344">
        <v>33</v>
      </c>
      <c r="N344">
        <v>47538</v>
      </c>
      <c r="O344">
        <v>2</v>
      </c>
      <c r="P344">
        <v>4</v>
      </c>
      <c r="Q344">
        <v>31</v>
      </c>
      <c r="R344">
        <v>11</v>
      </c>
      <c r="S344">
        <v>1</v>
      </c>
      <c r="T344">
        <v>1</v>
      </c>
      <c r="U344">
        <v>3</v>
      </c>
      <c r="V344">
        <v>21</v>
      </c>
      <c r="W344">
        <v>3</v>
      </c>
    </row>
    <row r="345" spans="1:23" x14ac:dyDescent="0.25">
      <c r="A345" s="1" t="s">
        <v>23</v>
      </c>
      <c r="B345" s="1" t="s">
        <v>54</v>
      </c>
      <c r="C345" s="1" t="s">
        <v>34</v>
      </c>
      <c r="D345" s="1" t="s">
        <v>26</v>
      </c>
      <c r="E345" s="1" t="s">
        <v>27</v>
      </c>
      <c r="F345" s="1" t="s">
        <v>68</v>
      </c>
      <c r="G345" s="1" t="s">
        <v>403</v>
      </c>
      <c r="H345">
        <v>344</v>
      </c>
      <c r="I345" s="1" t="s">
        <v>30</v>
      </c>
      <c r="J345" s="1" t="s">
        <v>31</v>
      </c>
      <c r="K345" s="1" t="s">
        <v>32</v>
      </c>
      <c r="L345" s="1" t="s">
        <v>33</v>
      </c>
      <c r="M345">
        <v>55</v>
      </c>
      <c r="N345">
        <v>64107</v>
      </c>
      <c r="O345">
        <v>2</v>
      </c>
      <c r="P345">
        <v>1</v>
      </c>
      <c r="Q345">
        <v>31</v>
      </c>
      <c r="R345">
        <v>32</v>
      </c>
      <c r="S345">
        <v>0</v>
      </c>
      <c r="T345">
        <v>1</v>
      </c>
      <c r="U345">
        <v>3</v>
      </c>
      <c r="V345">
        <v>24</v>
      </c>
      <c r="W345">
        <v>4</v>
      </c>
    </row>
    <row r="346" spans="1:23" x14ac:dyDescent="0.25">
      <c r="A346" s="1" t="s">
        <v>23</v>
      </c>
      <c r="B346" s="1" t="s">
        <v>54</v>
      </c>
      <c r="C346" s="1" t="s">
        <v>34</v>
      </c>
      <c r="D346" s="1" t="s">
        <v>26</v>
      </c>
      <c r="E346" s="1" t="s">
        <v>55</v>
      </c>
      <c r="F346" s="1" t="s">
        <v>52</v>
      </c>
      <c r="G346" s="1" t="s">
        <v>404</v>
      </c>
      <c r="H346">
        <v>345</v>
      </c>
      <c r="I346" s="1" t="s">
        <v>36</v>
      </c>
      <c r="J346" s="1" t="s">
        <v>48</v>
      </c>
      <c r="K346" s="1" t="s">
        <v>50</v>
      </c>
      <c r="L346" s="1" t="s">
        <v>23</v>
      </c>
      <c r="M346">
        <v>35</v>
      </c>
      <c r="N346">
        <v>43706</v>
      </c>
      <c r="O346">
        <v>2</v>
      </c>
      <c r="P346">
        <v>4</v>
      </c>
      <c r="Q346">
        <v>12</v>
      </c>
      <c r="R346">
        <v>24</v>
      </c>
      <c r="S346">
        <v>1</v>
      </c>
      <c r="T346">
        <v>1</v>
      </c>
      <c r="U346">
        <v>4</v>
      </c>
      <c r="V346">
        <v>19</v>
      </c>
      <c r="W346">
        <v>4</v>
      </c>
    </row>
    <row r="347" spans="1:23" x14ac:dyDescent="0.25">
      <c r="A347" s="1" t="s">
        <v>23</v>
      </c>
      <c r="B347" s="1" t="s">
        <v>54</v>
      </c>
      <c r="C347" s="1" t="s">
        <v>34</v>
      </c>
      <c r="D347" s="1" t="s">
        <v>26</v>
      </c>
      <c r="E347" s="1" t="s">
        <v>55</v>
      </c>
      <c r="F347" s="1" t="s">
        <v>68</v>
      </c>
      <c r="G347" s="1" t="s">
        <v>405</v>
      </c>
      <c r="H347">
        <v>346</v>
      </c>
      <c r="I347" s="1" t="s">
        <v>30</v>
      </c>
      <c r="J347" s="1" t="s">
        <v>41</v>
      </c>
      <c r="K347" s="1" t="s">
        <v>38</v>
      </c>
      <c r="L347" s="1" t="s">
        <v>33</v>
      </c>
      <c r="M347">
        <v>50</v>
      </c>
      <c r="N347">
        <v>68896</v>
      </c>
      <c r="O347">
        <v>3</v>
      </c>
      <c r="P347">
        <v>3</v>
      </c>
      <c r="Q347">
        <v>12</v>
      </c>
      <c r="R347">
        <v>21</v>
      </c>
      <c r="S347">
        <v>1</v>
      </c>
      <c r="T347">
        <v>1</v>
      </c>
      <c r="U347">
        <v>3</v>
      </c>
      <c r="V347">
        <v>9</v>
      </c>
      <c r="W347">
        <v>2</v>
      </c>
    </row>
    <row r="348" spans="1:23" x14ac:dyDescent="0.25">
      <c r="A348" s="1" t="s">
        <v>23</v>
      </c>
      <c r="B348" s="1" t="s">
        <v>24</v>
      </c>
      <c r="C348" s="1" t="s">
        <v>39</v>
      </c>
      <c r="D348" s="1" t="s">
        <v>26</v>
      </c>
      <c r="E348" s="1" t="s">
        <v>40</v>
      </c>
      <c r="F348" s="1" t="s">
        <v>46</v>
      </c>
      <c r="G348" s="1" t="s">
        <v>406</v>
      </c>
      <c r="H348">
        <v>347</v>
      </c>
      <c r="I348" s="1" t="s">
        <v>30</v>
      </c>
      <c r="J348" s="1" t="s">
        <v>76</v>
      </c>
      <c r="K348" s="1" t="s">
        <v>32</v>
      </c>
      <c r="L348" s="1" t="s">
        <v>33</v>
      </c>
      <c r="M348">
        <v>60</v>
      </c>
      <c r="N348">
        <v>62547</v>
      </c>
      <c r="O348">
        <v>2</v>
      </c>
      <c r="P348">
        <v>1</v>
      </c>
      <c r="Q348">
        <v>26</v>
      </c>
      <c r="R348">
        <v>33</v>
      </c>
      <c r="S348">
        <v>3</v>
      </c>
      <c r="T348">
        <v>2</v>
      </c>
      <c r="U348">
        <v>4</v>
      </c>
      <c r="V348">
        <v>27</v>
      </c>
      <c r="W348">
        <v>4</v>
      </c>
    </row>
    <row r="349" spans="1:23" x14ac:dyDescent="0.25">
      <c r="A349" s="1" t="s">
        <v>23</v>
      </c>
      <c r="B349" s="1" t="s">
        <v>24</v>
      </c>
      <c r="C349" s="1" t="s">
        <v>39</v>
      </c>
      <c r="D349" s="1" t="s">
        <v>26</v>
      </c>
      <c r="E349" s="1" t="s">
        <v>46</v>
      </c>
      <c r="F349" s="1" t="s">
        <v>28</v>
      </c>
      <c r="G349" s="1" t="s">
        <v>407</v>
      </c>
      <c r="H349">
        <v>348</v>
      </c>
      <c r="I349" s="1" t="s">
        <v>36</v>
      </c>
      <c r="J349" s="1" t="s">
        <v>41</v>
      </c>
      <c r="K349" s="1" t="s">
        <v>32</v>
      </c>
      <c r="L349" s="1" t="s">
        <v>33</v>
      </c>
      <c r="M349">
        <v>58</v>
      </c>
      <c r="N349">
        <v>57051</v>
      </c>
      <c r="O349">
        <v>1</v>
      </c>
      <c r="P349">
        <v>4</v>
      </c>
      <c r="Q349">
        <v>2</v>
      </c>
      <c r="R349">
        <v>2</v>
      </c>
      <c r="S349">
        <v>3</v>
      </c>
      <c r="T349">
        <v>1</v>
      </c>
      <c r="U349">
        <v>4</v>
      </c>
      <c r="V349">
        <v>17</v>
      </c>
      <c r="W349">
        <v>4</v>
      </c>
    </row>
    <row r="350" spans="1:23" x14ac:dyDescent="0.25">
      <c r="A350" s="1" t="s">
        <v>23</v>
      </c>
      <c r="B350" s="1" t="s">
        <v>44</v>
      </c>
      <c r="C350" s="1" t="s">
        <v>65</v>
      </c>
      <c r="D350" s="1" t="s">
        <v>26</v>
      </c>
      <c r="E350" s="1" t="s">
        <v>60</v>
      </c>
      <c r="F350" s="1" t="s">
        <v>68</v>
      </c>
      <c r="G350" s="1" t="s">
        <v>408</v>
      </c>
      <c r="H350">
        <v>349</v>
      </c>
      <c r="I350" s="1" t="s">
        <v>30</v>
      </c>
      <c r="J350" s="1" t="s">
        <v>31</v>
      </c>
      <c r="K350" s="1" t="s">
        <v>32</v>
      </c>
      <c r="L350" s="1" t="s">
        <v>33</v>
      </c>
      <c r="M350">
        <v>47</v>
      </c>
      <c r="N350">
        <v>75149</v>
      </c>
      <c r="O350">
        <v>2</v>
      </c>
      <c r="P350">
        <v>3</v>
      </c>
      <c r="Q350">
        <v>18</v>
      </c>
      <c r="R350">
        <v>15</v>
      </c>
      <c r="S350">
        <v>5</v>
      </c>
      <c r="T350">
        <v>1</v>
      </c>
      <c r="U350">
        <v>3</v>
      </c>
      <c r="V350">
        <v>16</v>
      </c>
      <c r="W350">
        <v>3</v>
      </c>
    </row>
    <row r="351" spans="1:23" x14ac:dyDescent="0.25">
      <c r="A351" s="1" t="s">
        <v>23</v>
      </c>
      <c r="B351" s="1" t="s">
        <v>54</v>
      </c>
      <c r="C351" s="1" t="s">
        <v>39</v>
      </c>
      <c r="D351" s="1" t="s">
        <v>26</v>
      </c>
      <c r="E351" s="1" t="s">
        <v>51</v>
      </c>
      <c r="F351" s="1" t="s">
        <v>41</v>
      </c>
      <c r="G351" s="1" t="s">
        <v>409</v>
      </c>
      <c r="H351">
        <v>350</v>
      </c>
      <c r="I351" s="1" t="s">
        <v>30</v>
      </c>
      <c r="J351" s="1" t="s">
        <v>86</v>
      </c>
      <c r="K351" s="1" t="s">
        <v>38</v>
      </c>
      <c r="L351" s="1" t="s">
        <v>33</v>
      </c>
      <c r="M351">
        <v>46</v>
      </c>
      <c r="N351">
        <v>66482</v>
      </c>
      <c r="O351">
        <v>3</v>
      </c>
      <c r="P351">
        <v>4</v>
      </c>
      <c r="Q351">
        <v>40</v>
      </c>
      <c r="R351">
        <v>0</v>
      </c>
      <c r="S351">
        <v>6</v>
      </c>
      <c r="T351">
        <v>1</v>
      </c>
      <c r="U351">
        <v>4</v>
      </c>
      <c r="V351">
        <v>29</v>
      </c>
      <c r="W351">
        <v>3</v>
      </c>
    </row>
    <row r="352" spans="1:23" x14ac:dyDescent="0.25">
      <c r="A352" s="1" t="s">
        <v>23</v>
      </c>
      <c r="B352" s="1" t="s">
        <v>54</v>
      </c>
      <c r="C352" s="1" t="s">
        <v>34</v>
      </c>
      <c r="D352" s="1" t="s">
        <v>26</v>
      </c>
      <c r="E352" s="1" t="s">
        <v>27</v>
      </c>
      <c r="F352" s="1" t="s">
        <v>41</v>
      </c>
      <c r="G352" s="1" t="s">
        <v>410</v>
      </c>
      <c r="H352">
        <v>351</v>
      </c>
      <c r="I352" s="1" t="s">
        <v>30</v>
      </c>
      <c r="J352" s="1" t="s">
        <v>31</v>
      </c>
      <c r="K352" s="1" t="s">
        <v>32</v>
      </c>
      <c r="L352" s="1" t="s">
        <v>23</v>
      </c>
      <c r="M352">
        <v>24</v>
      </c>
      <c r="N352">
        <v>152935</v>
      </c>
      <c r="O352">
        <v>3</v>
      </c>
      <c r="P352">
        <v>1</v>
      </c>
      <c r="Q352">
        <v>7</v>
      </c>
      <c r="R352">
        <v>24</v>
      </c>
      <c r="S352">
        <v>2</v>
      </c>
      <c r="T352">
        <v>4</v>
      </c>
      <c r="U352">
        <v>3</v>
      </c>
      <c r="V352">
        <v>12</v>
      </c>
      <c r="W352">
        <v>3</v>
      </c>
    </row>
    <row r="353" spans="1:23" x14ac:dyDescent="0.25">
      <c r="A353" s="1" t="s">
        <v>23</v>
      </c>
      <c r="B353" s="1" t="s">
        <v>54</v>
      </c>
      <c r="C353" s="1" t="s">
        <v>39</v>
      </c>
      <c r="D353" s="1" t="s">
        <v>26</v>
      </c>
      <c r="E353" s="1" t="s">
        <v>60</v>
      </c>
      <c r="F353" s="1" t="s">
        <v>52</v>
      </c>
      <c r="G353" s="1" t="s">
        <v>411</v>
      </c>
      <c r="H353">
        <v>352</v>
      </c>
      <c r="I353" s="1" t="s">
        <v>30</v>
      </c>
      <c r="J353" s="1" t="s">
        <v>70</v>
      </c>
      <c r="K353" s="1" t="s">
        <v>38</v>
      </c>
      <c r="L353" s="1" t="s">
        <v>33</v>
      </c>
      <c r="M353">
        <v>55</v>
      </c>
      <c r="N353">
        <v>47768</v>
      </c>
      <c r="O353">
        <v>4</v>
      </c>
      <c r="P353">
        <v>2</v>
      </c>
      <c r="Q353">
        <v>14</v>
      </c>
      <c r="R353">
        <v>20</v>
      </c>
      <c r="S353">
        <v>2</v>
      </c>
      <c r="T353">
        <v>3</v>
      </c>
      <c r="U353">
        <v>4</v>
      </c>
      <c r="V353">
        <v>9</v>
      </c>
      <c r="W353">
        <v>1</v>
      </c>
    </row>
    <row r="354" spans="1:23" x14ac:dyDescent="0.25">
      <c r="A354" s="1" t="s">
        <v>23</v>
      </c>
      <c r="B354" s="1" t="s">
        <v>54</v>
      </c>
      <c r="C354" s="1" t="s">
        <v>34</v>
      </c>
      <c r="D354" s="1" t="s">
        <v>26</v>
      </c>
      <c r="E354" s="1" t="s">
        <v>40</v>
      </c>
      <c r="F354" s="1" t="s">
        <v>41</v>
      </c>
      <c r="G354" s="1" t="s">
        <v>412</v>
      </c>
      <c r="H354">
        <v>353</v>
      </c>
      <c r="I354" s="1" t="s">
        <v>30</v>
      </c>
      <c r="J354" s="1" t="s">
        <v>86</v>
      </c>
      <c r="K354" s="1" t="s">
        <v>32</v>
      </c>
      <c r="L354" s="1" t="s">
        <v>23</v>
      </c>
      <c r="M354">
        <v>49</v>
      </c>
      <c r="N354">
        <v>114507</v>
      </c>
      <c r="O354">
        <v>1</v>
      </c>
      <c r="P354">
        <v>2</v>
      </c>
      <c r="Q354">
        <v>29</v>
      </c>
      <c r="R354">
        <v>5</v>
      </c>
      <c r="S354">
        <v>0</v>
      </c>
      <c r="T354">
        <v>4</v>
      </c>
      <c r="U354">
        <v>3</v>
      </c>
      <c r="V354">
        <v>10</v>
      </c>
      <c r="W354">
        <v>1</v>
      </c>
    </row>
    <row r="355" spans="1:23" x14ac:dyDescent="0.25">
      <c r="A355" s="1" t="s">
        <v>23</v>
      </c>
      <c r="B355" s="1" t="s">
        <v>24</v>
      </c>
      <c r="C355" s="1" t="s">
        <v>34</v>
      </c>
      <c r="D355" s="1" t="s">
        <v>26</v>
      </c>
      <c r="E355" s="1" t="s">
        <v>46</v>
      </c>
      <c r="F355" s="1" t="s">
        <v>68</v>
      </c>
      <c r="G355" s="1" t="s">
        <v>413</v>
      </c>
      <c r="H355">
        <v>354</v>
      </c>
      <c r="I355" s="1" t="s">
        <v>30</v>
      </c>
      <c r="J355" s="1" t="s">
        <v>48</v>
      </c>
      <c r="K355" s="1" t="s">
        <v>32</v>
      </c>
      <c r="L355" s="1" t="s">
        <v>33</v>
      </c>
      <c r="M355">
        <v>39</v>
      </c>
      <c r="N355">
        <v>127192</v>
      </c>
      <c r="O355">
        <v>2</v>
      </c>
      <c r="P355">
        <v>4</v>
      </c>
      <c r="Q355">
        <v>22</v>
      </c>
      <c r="R355">
        <v>26</v>
      </c>
      <c r="S355">
        <v>3</v>
      </c>
      <c r="T355">
        <v>1</v>
      </c>
      <c r="U355">
        <v>4</v>
      </c>
      <c r="V355">
        <v>7</v>
      </c>
      <c r="W355">
        <v>1</v>
      </c>
    </row>
    <row r="356" spans="1:23" x14ac:dyDescent="0.25">
      <c r="A356" s="1" t="s">
        <v>23</v>
      </c>
      <c r="B356" s="1" t="s">
        <v>54</v>
      </c>
      <c r="C356" s="1" t="s">
        <v>65</v>
      </c>
      <c r="D356" s="1" t="s">
        <v>26</v>
      </c>
      <c r="E356" s="1" t="s">
        <v>51</v>
      </c>
      <c r="F356" s="1" t="s">
        <v>46</v>
      </c>
      <c r="G356" s="1" t="s">
        <v>414</v>
      </c>
      <c r="H356">
        <v>355</v>
      </c>
      <c r="I356" s="1" t="s">
        <v>36</v>
      </c>
      <c r="J356" s="1" t="s">
        <v>43</v>
      </c>
      <c r="K356" s="1" t="s">
        <v>38</v>
      </c>
      <c r="L356" s="1" t="s">
        <v>23</v>
      </c>
      <c r="M356">
        <v>52</v>
      </c>
      <c r="N356">
        <v>173545</v>
      </c>
      <c r="O356">
        <v>4</v>
      </c>
      <c r="P356">
        <v>4</v>
      </c>
      <c r="Q356">
        <v>19</v>
      </c>
      <c r="R356">
        <v>36</v>
      </c>
      <c r="S356">
        <v>1</v>
      </c>
      <c r="T356">
        <v>3</v>
      </c>
      <c r="U356">
        <v>3</v>
      </c>
      <c r="V356">
        <v>26</v>
      </c>
      <c r="W356">
        <v>3</v>
      </c>
    </row>
    <row r="357" spans="1:23" x14ac:dyDescent="0.25">
      <c r="A357" s="1" t="s">
        <v>23</v>
      </c>
      <c r="B357" s="1" t="s">
        <v>24</v>
      </c>
      <c r="C357" s="1" t="s">
        <v>34</v>
      </c>
      <c r="D357" s="1" t="s">
        <v>26</v>
      </c>
      <c r="E357" s="1" t="s">
        <v>27</v>
      </c>
      <c r="F357" s="1" t="s">
        <v>28</v>
      </c>
      <c r="G357" s="1" t="s">
        <v>415</v>
      </c>
      <c r="H357">
        <v>356</v>
      </c>
      <c r="I357" s="1" t="s">
        <v>36</v>
      </c>
      <c r="J357" s="1" t="s">
        <v>76</v>
      </c>
      <c r="K357" s="1" t="s">
        <v>38</v>
      </c>
      <c r="L357" s="1" t="s">
        <v>33</v>
      </c>
      <c r="M357">
        <v>60</v>
      </c>
      <c r="N357">
        <v>60150</v>
      </c>
      <c r="O357">
        <v>3</v>
      </c>
      <c r="P357">
        <v>2</v>
      </c>
      <c r="Q357">
        <v>11</v>
      </c>
      <c r="R357">
        <v>42</v>
      </c>
      <c r="S357">
        <v>6</v>
      </c>
      <c r="T357">
        <v>2</v>
      </c>
      <c r="U357">
        <v>3</v>
      </c>
      <c r="V357">
        <v>8</v>
      </c>
      <c r="W357">
        <v>1</v>
      </c>
    </row>
    <row r="358" spans="1:23" x14ac:dyDescent="0.25">
      <c r="A358" s="1" t="s">
        <v>23</v>
      </c>
      <c r="B358" s="1" t="s">
        <v>44</v>
      </c>
      <c r="C358" s="1" t="s">
        <v>34</v>
      </c>
      <c r="D358" s="1" t="s">
        <v>26</v>
      </c>
      <c r="E358" s="1" t="s">
        <v>55</v>
      </c>
      <c r="F358" s="1" t="s">
        <v>46</v>
      </c>
      <c r="G358" s="1" t="s">
        <v>416</v>
      </c>
      <c r="H358">
        <v>357</v>
      </c>
      <c r="I358" s="1" t="s">
        <v>36</v>
      </c>
      <c r="J358" s="1" t="s">
        <v>70</v>
      </c>
      <c r="K358" s="1" t="s">
        <v>50</v>
      </c>
      <c r="L358" s="1" t="s">
        <v>33</v>
      </c>
      <c r="M358">
        <v>41</v>
      </c>
      <c r="N358">
        <v>108137</v>
      </c>
      <c r="O358">
        <v>2</v>
      </c>
      <c r="P358">
        <v>3</v>
      </c>
      <c r="Q358">
        <v>28</v>
      </c>
      <c r="R358">
        <v>34</v>
      </c>
      <c r="S358">
        <v>1</v>
      </c>
      <c r="T358">
        <v>3</v>
      </c>
      <c r="U358">
        <v>3</v>
      </c>
      <c r="V358">
        <v>30</v>
      </c>
      <c r="W358">
        <v>1</v>
      </c>
    </row>
    <row r="359" spans="1:23" x14ac:dyDescent="0.25">
      <c r="A359" s="1" t="s">
        <v>23</v>
      </c>
      <c r="B359" s="1" t="s">
        <v>44</v>
      </c>
      <c r="C359" s="1" t="s">
        <v>39</v>
      </c>
      <c r="D359" s="1" t="s">
        <v>26</v>
      </c>
      <c r="E359" s="1" t="s">
        <v>55</v>
      </c>
      <c r="F359" s="1" t="s">
        <v>46</v>
      </c>
      <c r="G359" s="1" t="s">
        <v>417</v>
      </c>
      <c r="H359">
        <v>358</v>
      </c>
      <c r="I359" s="1" t="s">
        <v>30</v>
      </c>
      <c r="J359" s="1" t="s">
        <v>64</v>
      </c>
      <c r="K359" s="1" t="s">
        <v>32</v>
      </c>
      <c r="L359" s="1" t="s">
        <v>23</v>
      </c>
      <c r="M359">
        <v>39</v>
      </c>
      <c r="N359">
        <v>142232</v>
      </c>
      <c r="O359">
        <v>3</v>
      </c>
      <c r="P359">
        <v>2</v>
      </c>
      <c r="Q359">
        <v>36</v>
      </c>
      <c r="R359">
        <v>28</v>
      </c>
      <c r="S359">
        <v>2</v>
      </c>
      <c r="T359">
        <v>1</v>
      </c>
      <c r="U359">
        <v>4</v>
      </c>
      <c r="V359">
        <v>29</v>
      </c>
      <c r="W359">
        <v>1</v>
      </c>
    </row>
    <row r="360" spans="1:23" x14ac:dyDescent="0.25">
      <c r="A360" s="1" t="s">
        <v>23</v>
      </c>
      <c r="B360" s="1" t="s">
        <v>24</v>
      </c>
      <c r="C360" s="1" t="s">
        <v>39</v>
      </c>
      <c r="D360" s="1" t="s">
        <v>26</v>
      </c>
      <c r="E360" s="1" t="s">
        <v>27</v>
      </c>
      <c r="F360" s="1" t="s">
        <v>68</v>
      </c>
      <c r="G360" s="1" t="s">
        <v>418</v>
      </c>
      <c r="H360">
        <v>359</v>
      </c>
      <c r="I360" s="1" t="s">
        <v>30</v>
      </c>
      <c r="J360" s="1" t="s">
        <v>86</v>
      </c>
      <c r="K360" s="1" t="s">
        <v>38</v>
      </c>
      <c r="L360" s="1" t="s">
        <v>33</v>
      </c>
      <c r="M360">
        <v>41</v>
      </c>
      <c r="N360">
        <v>32426</v>
      </c>
      <c r="O360">
        <v>2</v>
      </c>
      <c r="P360">
        <v>2</v>
      </c>
      <c r="Q360">
        <v>17</v>
      </c>
      <c r="R360">
        <v>12</v>
      </c>
      <c r="S360">
        <v>0</v>
      </c>
      <c r="T360">
        <v>1</v>
      </c>
      <c r="U360">
        <v>4</v>
      </c>
      <c r="V360">
        <v>22</v>
      </c>
      <c r="W360">
        <v>1</v>
      </c>
    </row>
    <row r="361" spans="1:23" x14ac:dyDescent="0.25">
      <c r="A361" s="1" t="s">
        <v>33</v>
      </c>
      <c r="B361" s="1" t="s">
        <v>44</v>
      </c>
      <c r="C361" s="1" t="s">
        <v>34</v>
      </c>
      <c r="D361" s="1" t="s">
        <v>73</v>
      </c>
      <c r="E361" s="1" t="s">
        <v>40</v>
      </c>
      <c r="F361" s="1" t="s">
        <v>41</v>
      </c>
      <c r="G361" s="1" t="s">
        <v>419</v>
      </c>
      <c r="H361">
        <v>360</v>
      </c>
      <c r="I361" s="1" t="s">
        <v>30</v>
      </c>
      <c r="J361" s="1" t="s">
        <v>37</v>
      </c>
      <c r="K361" s="1" t="s">
        <v>38</v>
      </c>
      <c r="L361" s="1" t="s">
        <v>33</v>
      </c>
      <c r="M361">
        <v>48</v>
      </c>
      <c r="N361">
        <v>114896</v>
      </c>
      <c r="O361">
        <v>4</v>
      </c>
      <c r="P361">
        <v>3</v>
      </c>
      <c r="Q361">
        <v>0</v>
      </c>
      <c r="R361">
        <v>18</v>
      </c>
      <c r="S361">
        <v>2</v>
      </c>
      <c r="T361">
        <v>3</v>
      </c>
      <c r="U361">
        <v>4</v>
      </c>
      <c r="V361">
        <v>15</v>
      </c>
      <c r="W361">
        <v>5</v>
      </c>
    </row>
    <row r="362" spans="1:23" x14ac:dyDescent="0.25">
      <c r="A362" s="1" t="s">
        <v>23</v>
      </c>
      <c r="B362" s="1" t="s">
        <v>54</v>
      </c>
      <c r="C362" s="1" t="s">
        <v>39</v>
      </c>
      <c r="D362" s="1" t="s">
        <v>26</v>
      </c>
      <c r="E362" s="1" t="s">
        <v>40</v>
      </c>
      <c r="F362" s="1" t="s">
        <v>68</v>
      </c>
      <c r="G362" s="1" t="s">
        <v>420</v>
      </c>
      <c r="H362">
        <v>361</v>
      </c>
      <c r="I362" s="1" t="s">
        <v>36</v>
      </c>
      <c r="J362" s="1" t="s">
        <v>76</v>
      </c>
      <c r="K362" s="1" t="s">
        <v>50</v>
      </c>
      <c r="L362" s="1" t="s">
        <v>23</v>
      </c>
      <c r="M362">
        <v>47</v>
      </c>
      <c r="N362">
        <v>54586</v>
      </c>
      <c r="O362">
        <v>1</v>
      </c>
      <c r="P362">
        <v>2</v>
      </c>
      <c r="Q362">
        <v>13</v>
      </c>
      <c r="R362">
        <v>19</v>
      </c>
      <c r="S362">
        <v>3</v>
      </c>
      <c r="T362">
        <v>3</v>
      </c>
      <c r="U362">
        <v>3</v>
      </c>
      <c r="V362">
        <v>30</v>
      </c>
      <c r="W362">
        <v>5</v>
      </c>
    </row>
    <row r="363" spans="1:23" x14ac:dyDescent="0.25">
      <c r="A363" s="1" t="s">
        <v>23</v>
      </c>
      <c r="B363" s="1" t="s">
        <v>54</v>
      </c>
      <c r="C363" s="1" t="s">
        <v>25</v>
      </c>
      <c r="D363" s="1" t="s">
        <v>26</v>
      </c>
      <c r="E363" s="1" t="s">
        <v>40</v>
      </c>
      <c r="F363" s="1" t="s">
        <v>46</v>
      </c>
      <c r="G363" s="1" t="s">
        <v>421</v>
      </c>
      <c r="H363">
        <v>362</v>
      </c>
      <c r="I363" s="1" t="s">
        <v>36</v>
      </c>
      <c r="J363" s="1" t="s">
        <v>70</v>
      </c>
      <c r="K363" s="1" t="s">
        <v>32</v>
      </c>
      <c r="L363" s="1" t="s">
        <v>23</v>
      </c>
      <c r="M363">
        <v>57</v>
      </c>
      <c r="N363">
        <v>53894</v>
      </c>
      <c r="O363">
        <v>2</v>
      </c>
      <c r="P363">
        <v>2</v>
      </c>
      <c r="Q363">
        <v>24</v>
      </c>
      <c r="R363">
        <v>18</v>
      </c>
      <c r="S363">
        <v>4</v>
      </c>
      <c r="T363">
        <v>4</v>
      </c>
      <c r="U363">
        <v>3</v>
      </c>
      <c r="V363">
        <v>27</v>
      </c>
      <c r="W363">
        <v>3</v>
      </c>
    </row>
    <row r="364" spans="1:23" x14ac:dyDescent="0.25">
      <c r="A364" s="1" t="s">
        <v>23</v>
      </c>
      <c r="B364" s="1" t="s">
        <v>54</v>
      </c>
      <c r="C364" s="1" t="s">
        <v>34</v>
      </c>
      <c r="D364" s="1" t="s">
        <v>26</v>
      </c>
      <c r="E364" s="1" t="s">
        <v>51</v>
      </c>
      <c r="F364" s="1" t="s">
        <v>68</v>
      </c>
      <c r="G364" s="1" t="s">
        <v>422</v>
      </c>
      <c r="H364">
        <v>363</v>
      </c>
      <c r="I364" s="1" t="s">
        <v>30</v>
      </c>
      <c r="J364" s="1" t="s">
        <v>64</v>
      </c>
      <c r="K364" s="1" t="s">
        <v>50</v>
      </c>
      <c r="L364" s="1" t="s">
        <v>33</v>
      </c>
      <c r="M364">
        <v>37</v>
      </c>
      <c r="N364">
        <v>96687</v>
      </c>
      <c r="O364">
        <v>4</v>
      </c>
      <c r="P364">
        <v>1</v>
      </c>
      <c r="Q364">
        <v>18</v>
      </c>
      <c r="R364">
        <v>26</v>
      </c>
      <c r="S364">
        <v>1</v>
      </c>
      <c r="T364">
        <v>4</v>
      </c>
      <c r="U364">
        <v>3</v>
      </c>
      <c r="V364">
        <v>1</v>
      </c>
      <c r="W364">
        <v>1</v>
      </c>
    </row>
    <row r="365" spans="1:23" x14ac:dyDescent="0.25">
      <c r="A365" s="1" t="s">
        <v>23</v>
      </c>
      <c r="B365" s="1" t="s">
        <v>54</v>
      </c>
      <c r="C365" s="1" t="s">
        <v>39</v>
      </c>
      <c r="D365" s="1" t="s">
        <v>26</v>
      </c>
      <c r="E365" s="1" t="s">
        <v>60</v>
      </c>
      <c r="F365" s="1" t="s">
        <v>52</v>
      </c>
      <c r="G365" s="1" t="s">
        <v>423</v>
      </c>
      <c r="H365">
        <v>364</v>
      </c>
      <c r="I365" s="1" t="s">
        <v>36</v>
      </c>
      <c r="J365" s="1" t="s">
        <v>43</v>
      </c>
      <c r="K365" s="1" t="s">
        <v>38</v>
      </c>
      <c r="L365" s="1" t="s">
        <v>23</v>
      </c>
      <c r="M365">
        <v>37</v>
      </c>
      <c r="N365">
        <v>142791</v>
      </c>
      <c r="O365">
        <v>1</v>
      </c>
      <c r="P365">
        <v>3</v>
      </c>
      <c r="Q365">
        <v>32</v>
      </c>
      <c r="R365">
        <v>36</v>
      </c>
      <c r="S365">
        <v>0</v>
      </c>
      <c r="T365">
        <v>3</v>
      </c>
      <c r="U365">
        <v>3</v>
      </c>
      <c r="V365">
        <v>19</v>
      </c>
      <c r="W365">
        <v>1</v>
      </c>
    </row>
    <row r="366" spans="1:23" x14ac:dyDescent="0.25">
      <c r="A366" s="1" t="s">
        <v>23</v>
      </c>
      <c r="B366" s="1" t="s">
        <v>24</v>
      </c>
      <c r="C366" s="1" t="s">
        <v>39</v>
      </c>
      <c r="D366" s="1" t="s">
        <v>26</v>
      </c>
      <c r="E366" s="1" t="s">
        <v>46</v>
      </c>
      <c r="F366" s="1" t="s">
        <v>46</v>
      </c>
      <c r="G366" s="1" t="s">
        <v>424</v>
      </c>
      <c r="H366">
        <v>365</v>
      </c>
      <c r="I366" s="1" t="s">
        <v>30</v>
      </c>
      <c r="J366" s="1" t="s">
        <v>64</v>
      </c>
      <c r="K366" s="1" t="s">
        <v>38</v>
      </c>
      <c r="L366" s="1" t="s">
        <v>23</v>
      </c>
      <c r="M366">
        <v>47</v>
      </c>
      <c r="N366">
        <v>111319</v>
      </c>
      <c r="O366">
        <v>1</v>
      </c>
      <c r="P366">
        <v>3</v>
      </c>
      <c r="Q366">
        <v>18</v>
      </c>
      <c r="R366">
        <v>33</v>
      </c>
      <c r="S366">
        <v>5</v>
      </c>
      <c r="T366">
        <v>1</v>
      </c>
      <c r="U366">
        <v>3</v>
      </c>
      <c r="V366">
        <v>25</v>
      </c>
      <c r="W366">
        <v>2</v>
      </c>
    </row>
    <row r="367" spans="1:23" x14ac:dyDescent="0.25">
      <c r="A367" s="1" t="s">
        <v>23</v>
      </c>
      <c r="B367" s="1" t="s">
        <v>54</v>
      </c>
      <c r="C367" s="1" t="s">
        <v>39</v>
      </c>
      <c r="D367" s="1" t="s">
        <v>26</v>
      </c>
      <c r="E367" s="1" t="s">
        <v>55</v>
      </c>
      <c r="F367" s="1" t="s">
        <v>46</v>
      </c>
      <c r="G367" s="1" t="s">
        <v>425</v>
      </c>
      <c r="H367">
        <v>366</v>
      </c>
      <c r="I367" s="1" t="s">
        <v>36</v>
      </c>
      <c r="J367" s="1" t="s">
        <v>76</v>
      </c>
      <c r="K367" s="1" t="s">
        <v>38</v>
      </c>
      <c r="L367" s="1" t="s">
        <v>23</v>
      </c>
      <c r="M367">
        <v>27</v>
      </c>
      <c r="N367">
        <v>158095</v>
      </c>
      <c r="O367">
        <v>3</v>
      </c>
      <c r="P367">
        <v>2</v>
      </c>
      <c r="Q367">
        <v>0</v>
      </c>
      <c r="R367">
        <v>8</v>
      </c>
      <c r="S367">
        <v>4</v>
      </c>
      <c r="T367">
        <v>3</v>
      </c>
      <c r="U367">
        <v>4</v>
      </c>
      <c r="V367">
        <v>25</v>
      </c>
      <c r="W367">
        <v>4</v>
      </c>
    </row>
    <row r="368" spans="1:23" x14ac:dyDescent="0.25">
      <c r="A368" s="1" t="s">
        <v>23</v>
      </c>
      <c r="B368" s="1" t="s">
        <v>24</v>
      </c>
      <c r="C368" s="1" t="s">
        <v>65</v>
      </c>
      <c r="D368" s="1" t="s">
        <v>26</v>
      </c>
      <c r="E368" s="1" t="s">
        <v>55</v>
      </c>
      <c r="F368" s="1" t="s">
        <v>28</v>
      </c>
      <c r="G368" s="1" t="s">
        <v>426</v>
      </c>
      <c r="H368">
        <v>367</v>
      </c>
      <c r="I368" s="1" t="s">
        <v>30</v>
      </c>
      <c r="J368" s="1" t="s">
        <v>59</v>
      </c>
      <c r="K368" s="1" t="s">
        <v>50</v>
      </c>
      <c r="L368" s="1" t="s">
        <v>33</v>
      </c>
      <c r="M368">
        <v>56</v>
      </c>
      <c r="N368">
        <v>178806</v>
      </c>
      <c r="O368">
        <v>1</v>
      </c>
      <c r="P368">
        <v>4</v>
      </c>
      <c r="Q368">
        <v>29</v>
      </c>
      <c r="R368">
        <v>4</v>
      </c>
      <c r="S368">
        <v>0</v>
      </c>
      <c r="T368">
        <v>2</v>
      </c>
      <c r="U368">
        <v>3</v>
      </c>
      <c r="V368">
        <v>16</v>
      </c>
      <c r="W368">
        <v>3</v>
      </c>
    </row>
    <row r="369" spans="1:23" x14ac:dyDescent="0.25">
      <c r="A369" s="1" t="s">
        <v>23</v>
      </c>
      <c r="B369" s="1" t="s">
        <v>54</v>
      </c>
      <c r="C369" s="1" t="s">
        <v>34</v>
      </c>
      <c r="D369" s="1" t="s">
        <v>26</v>
      </c>
      <c r="E369" s="1" t="s">
        <v>40</v>
      </c>
      <c r="F369" s="1" t="s">
        <v>41</v>
      </c>
      <c r="G369" s="1" t="s">
        <v>427</v>
      </c>
      <c r="H369">
        <v>368</v>
      </c>
      <c r="I369" s="1" t="s">
        <v>36</v>
      </c>
      <c r="J369" s="1" t="s">
        <v>70</v>
      </c>
      <c r="K369" s="1" t="s">
        <v>32</v>
      </c>
      <c r="L369" s="1" t="s">
        <v>23</v>
      </c>
      <c r="M369">
        <v>22</v>
      </c>
      <c r="N369">
        <v>49089</v>
      </c>
      <c r="O369">
        <v>2</v>
      </c>
      <c r="P369">
        <v>2</v>
      </c>
      <c r="Q369">
        <v>9</v>
      </c>
      <c r="R369">
        <v>14</v>
      </c>
      <c r="S369">
        <v>2</v>
      </c>
      <c r="T369">
        <v>2</v>
      </c>
      <c r="U369">
        <v>3</v>
      </c>
      <c r="V369">
        <v>5</v>
      </c>
      <c r="W369">
        <v>1</v>
      </c>
    </row>
    <row r="370" spans="1:23" x14ac:dyDescent="0.25">
      <c r="A370" s="1" t="s">
        <v>23</v>
      </c>
      <c r="B370" s="1" t="s">
        <v>24</v>
      </c>
      <c r="C370" s="1" t="s">
        <v>65</v>
      </c>
      <c r="D370" s="1" t="s">
        <v>26</v>
      </c>
      <c r="E370" s="1" t="s">
        <v>60</v>
      </c>
      <c r="F370" s="1" t="s">
        <v>66</v>
      </c>
      <c r="G370" s="1" t="s">
        <v>428</v>
      </c>
      <c r="H370">
        <v>369</v>
      </c>
      <c r="I370" s="1" t="s">
        <v>36</v>
      </c>
      <c r="J370" s="1" t="s">
        <v>41</v>
      </c>
      <c r="K370" s="1" t="s">
        <v>50</v>
      </c>
      <c r="L370" s="1" t="s">
        <v>33</v>
      </c>
      <c r="M370">
        <v>27</v>
      </c>
      <c r="N370">
        <v>26596</v>
      </c>
      <c r="O370">
        <v>1</v>
      </c>
      <c r="P370">
        <v>4</v>
      </c>
      <c r="Q370">
        <v>7</v>
      </c>
      <c r="R370">
        <v>16</v>
      </c>
      <c r="S370">
        <v>0</v>
      </c>
      <c r="T370">
        <v>1</v>
      </c>
      <c r="U370">
        <v>4</v>
      </c>
      <c r="V370">
        <v>22</v>
      </c>
      <c r="W370">
        <v>1</v>
      </c>
    </row>
    <row r="371" spans="1:23" x14ac:dyDescent="0.25">
      <c r="A371" s="1" t="s">
        <v>23</v>
      </c>
      <c r="B371" s="1" t="s">
        <v>24</v>
      </c>
      <c r="C371" s="1" t="s">
        <v>65</v>
      </c>
      <c r="D371" s="1" t="s">
        <v>26</v>
      </c>
      <c r="E371" s="1" t="s">
        <v>51</v>
      </c>
      <c r="F371" s="1" t="s">
        <v>41</v>
      </c>
      <c r="G371" s="1" t="s">
        <v>429</v>
      </c>
      <c r="H371">
        <v>370</v>
      </c>
      <c r="I371" s="1" t="s">
        <v>30</v>
      </c>
      <c r="J371" s="1" t="s">
        <v>70</v>
      </c>
      <c r="K371" s="1" t="s">
        <v>32</v>
      </c>
      <c r="L371" s="1" t="s">
        <v>23</v>
      </c>
      <c r="M371">
        <v>22</v>
      </c>
      <c r="N371">
        <v>41797</v>
      </c>
      <c r="O371">
        <v>2</v>
      </c>
      <c r="P371">
        <v>3</v>
      </c>
      <c r="Q371">
        <v>37</v>
      </c>
      <c r="R371">
        <v>22</v>
      </c>
      <c r="S371">
        <v>2</v>
      </c>
      <c r="T371">
        <v>2</v>
      </c>
      <c r="U371">
        <v>3</v>
      </c>
      <c r="V371">
        <v>17</v>
      </c>
      <c r="W371">
        <v>5</v>
      </c>
    </row>
    <row r="372" spans="1:23" x14ac:dyDescent="0.25">
      <c r="A372" s="1" t="s">
        <v>23</v>
      </c>
      <c r="B372" s="1" t="s">
        <v>54</v>
      </c>
      <c r="C372" s="1" t="s">
        <v>65</v>
      </c>
      <c r="D372" s="1" t="s">
        <v>26</v>
      </c>
      <c r="E372" s="1" t="s">
        <v>60</v>
      </c>
      <c r="F372" s="1" t="s">
        <v>28</v>
      </c>
      <c r="G372" s="1" t="s">
        <v>430</v>
      </c>
      <c r="H372">
        <v>371</v>
      </c>
      <c r="I372" s="1" t="s">
        <v>30</v>
      </c>
      <c r="J372" s="1" t="s">
        <v>76</v>
      </c>
      <c r="K372" s="1" t="s">
        <v>50</v>
      </c>
      <c r="L372" s="1" t="s">
        <v>33</v>
      </c>
      <c r="M372">
        <v>27</v>
      </c>
      <c r="N372">
        <v>74102</v>
      </c>
      <c r="O372">
        <v>4</v>
      </c>
      <c r="P372">
        <v>3</v>
      </c>
      <c r="Q372">
        <v>37</v>
      </c>
      <c r="R372">
        <v>11</v>
      </c>
      <c r="S372">
        <v>3</v>
      </c>
      <c r="T372">
        <v>1</v>
      </c>
      <c r="U372">
        <v>3</v>
      </c>
      <c r="V372">
        <v>27</v>
      </c>
      <c r="W372">
        <v>3</v>
      </c>
    </row>
    <row r="373" spans="1:23" x14ac:dyDescent="0.25">
      <c r="A373" s="1" t="s">
        <v>33</v>
      </c>
      <c r="B373" s="1" t="s">
        <v>24</v>
      </c>
      <c r="C373" s="1" t="s">
        <v>34</v>
      </c>
      <c r="D373" s="1" t="s">
        <v>73</v>
      </c>
      <c r="E373" s="1" t="s">
        <v>51</v>
      </c>
      <c r="F373" s="1" t="s">
        <v>68</v>
      </c>
      <c r="G373" s="1" t="s">
        <v>431</v>
      </c>
      <c r="H373">
        <v>372</v>
      </c>
      <c r="I373" s="1" t="s">
        <v>30</v>
      </c>
      <c r="J373" s="1" t="s">
        <v>37</v>
      </c>
      <c r="K373" s="1" t="s">
        <v>50</v>
      </c>
      <c r="L373" s="1" t="s">
        <v>23</v>
      </c>
      <c r="M373">
        <v>28</v>
      </c>
      <c r="N373">
        <v>154243</v>
      </c>
      <c r="O373">
        <v>2</v>
      </c>
      <c r="P373">
        <v>4</v>
      </c>
      <c r="Q373">
        <v>23</v>
      </c>
      <c r="R373">
        <v>18</v>
      </c>
      <c r="S373">
        <v>4</v>
      </c>
      <c r="T373">
        <v>1</v>
      </c>
      <c r="U373">
        <v>3</v>
      </c>
      <c r="V373">
        <v>11</v>
      </c>
      <c r="W373">
        <v>4</v>
      </c>
    </row>
    <row r="374" spans="1:23" x14ac:dyDescent="0.25">
      <c r="A374" s="1" t="s">
        <v>23</v>
      </c>
      <c r="B374" s="1" t="s">
        <v>54</v>
      </c>
      <c r="C374" s="1" t="s">
        <v>34</v>
      </c>
      <c r="D374" s="1" t="s">
        <v>26</v>
      </c>
      <c r="E374" s="1" t="s">
        <v>51</v>
      </c>
      <c r="F374" s="1" t="s">
        <v>46</v>
      </c>
      <c r="G374" s="1" t="s">
        <v>432</v>
      </c>
      <c r="H374">
        <v>373</v>
      </c>
      <c r="I374" s="1" t="s">
        <v>36</v>
      </c>
      <c r="J374" s="1" t="s">
        <v>48</v>
      </c>
      <c r="K374" s="1" t="s">
        <v>32</v>
      </c>
      <c r="L374" s="1" t="s">
        <v>23</v>
      </c>
      <c r="M374">
        <v>39</v>
      </c>
      <c r="N374">
        <v>130187</v>
      </c>
      <c r="O374">
        <v>2</v>
      </c>
      <c r="P374">
        <v>1</v>
      </c>
      <c r="Q374">
        <v>30</v>
      </c>
      <c r="R374">
        <v>23</v>
      </c>
      <c r="S374">
        <v>1</v>
      </c>
      <c r="T374">
        <v>1</v>
      </c>
      <c r="U374">
        <v>4</v>
      </c>
      <c r="V374">
        <v>22</v>
      </c>
      <c r="W374">
        <v>1</v>
      </c>
    </row>
    <row r="375" spans="1:23" x14ac:dyDescent="0.25">
      <c r="A375" s="1" t="s">
        <v>23</v>
      </c>
      <c r="B375" s="1" t="s">
        <v>24</v>
      </c>
      <c r="C375" s="1" t="s">
        <v>39</v>
      </c>
      <c r="D375" s="1" t="s">
        <v>26</v>
      </c>
      <c r="E375" s="1" t="s">
        <v>46</v>
      </c>
      <c r="F375" s="1" t="s">
        <v>66</v>
      </c>
      <c r="G375" s="1" t="s">
        <v>433</v>
      </c>
      <c r="H375">
        <v>374</v>
      </c>
      <c r="I375" s="1" t="s">
        <v>30</v>
      </c>
      <c r="J375" s="1" t="s">
        <v>41</v>
      </c>
      <c r="K375" s="1" t="s">
        <v>38</v>
      </c>
      <c r="L375" s="1" t="s">
        <v>33</v>
      </c>
      <c r="M375">
        <v>31</v>
      </c>
      <c r="N375">
        <v>34963</v>
      </c>
      <c r="O375">
        <v>3</v>
      </c>
      <c r="P375">
        <v>2</v>
      </c>
      <c r="Q375">
        <v>21</v>
      </c>
      <c r="R375">
        <v>12</v>
      </c>
      <c r="S375">
        <v>4</v>
      </c>
      <c r="T375">
        <v>4</v>
      </c>
      <c r="U375">
        <v>3</v>
      </c>
      <c r="V375">
        <v>8</v>
      </c>
      <c r="W375">
        <v>4</v>
      </c>
    </row>
    <row r="376" spans="1:23" x14ac:dyDescent="0.25">
      <c r="A376" s="1" t="s">
        <v>23</v>
      </c>
      <c r="B376" s="1" t="s">
        <v>54</v>
      </c>
      <c r="C376" s="1" t="s">
        <v>34</v>
      </c>
      <c r="D376" s="1" t="s">
        <v>26</v>
      </c>
      <c r="E376" s="1" t="s">
        <v>46</v>
      </c>
      <c r="F376" s="1" t="s">
        <v>41</v>
      </c>
      <c r="G376" s="1" t="s">
        <v>434</v>
      </c>
      <c r="H376">
        <v>375</v>
      </c>
      <c r="I376" s="1" t="s">
        <v>36</v>
      </c>
      <c r="J376" s="1" t="s">
        <v>41</v>
      </c>
      <c r="K376" s="1" t="s">
        <v>38</v>
      </c>
      <c r="L376" s="1" t="s">
        <v>23</v>
      </c>
      <c r="M376">
        <v>59</v>
      </c>
      <c r="N376">
        <v>124022</v>
      </c>
      <c r="O376">
        <v>4</v>
      </c>
      <c r="P376">
        <v>3</v>
      </c>
      <c r="Q376">
        <v>9</v>
      </c>
      <c r="R376">
        <v>29</v>
      </c>
      <c r="S376">
        <v>0</v>
      </c>
      <c r="T376">
        <v>1</v>
      </c>
      <c r="U376">
        <v>4</v>
      </c>
      <c r="V376">
        <v>16</v>
      </c>
      <c r="W376">
        <v>4</v>
      </c>
    </row>
    <row r="377" spans="1:23" x14ac:dyDescent="0.25">
      <c r="A377" s="1" t="s">
        <v>23</v>
      </c>
      <c r="B377" s="1" t="s">
        <v>24</v>
      </c>
      <c r="C377" s="1" t="s">
        <v>65</v>
      </c>
      <c r="D377" s="1" t="s">
        <v>26</v>
      </c>
      <c r="E377" s="1" t="s">
        <v>60</v>
      </c>
      <c r="F377" s="1" t="s">
        <v>52</v>
      </c>
      <c r="G377" s="1" t="s">
        <v>435</v>
      </c>
      <c r="H377">
        <v>376</v>
      </c>
      <c r="I377" s="1" t="s">
        <v>30</v>
      </c>
      <c r="J377" s="1" t="s">
        <v>31</v>
      </c>
      <c r="K377" s="1" t="s">
        <v>38</v>
      </c>
      <c r="L377" s="1" t="s">
        <v>33</v>
      </c>
      <c r="M377">
        <v>32</v>
      </c>
      <c r="N377">
        <v>118304</v>
      </c>
      <c r="O377">
        <v>3</v>
      </c>
      <c r="P377">
        <v>2</v>
      </c>
      <c r="Q377">
        <v>19</v>
      </c>
      <c r="R377">
        <v>39</v>
      </c>
      <c r="S377">
        <v>4</v>
      </c>
      <c r="T377">
        <v>1</v>
      </c>
      <c r="U377">
        <v>3</v>
      </c>
      <c r="V377">
        <v>22</v>
      </c>
      <c r="W377">
        <v>5</v>
      </c>
    </row>
    <row r="378" spans="1:23" x14ac:dyDescent="0.25">
      <c r="A378" s="1" t="s">
        <v>23</v>
      </c>
      <c r="B378" s="1" t="s">
        <v>44</v>
      </c>
      <c r="C378" s="1" t="s">
        <v>65</v>
      </c>
      <c r="D378" s="1" t="s">
        <v>26</v>
      </c>
      <c r="E378" s="1" t="s">
        <v>55</v>
      </c>
      <c r="F378" s="1" t="s">
        <v>52</v>
      </c>
      <c r="G378" s="1" t="s">
        <v>436</v>
      </c>
      <c r="H378">
        <v>377</v>
      </c>
      <c r="I378" s="1" t="s">
        <v>36</v>
      </c>
      <c r="J378" s="1" t="s">
        <v>86</v>
      </c>
      <c r="K378" s="1" t="s">
        <v>32</v>
      </c>
      <c r="L378" s="1" t="s">
        <v>23</v>
      </c>
      <c r="M378">
        <v>55</v>
      </c>
      <c r="N378">
        <v>108076</v>
      </c>
      <c r="O378">
        <v>1</v>
      </c>
      <c r="P378">
        <v>1</v>
      </c>
      <c r="Q378">
        <v>27</v>
      </c>
      <c r="R378">
        <v>7</v>
      </c>
      <c r="S378">
        <v>3</v>
      </c>
      <c r="T378">
        <v>4</v>
      </c>
      <c r="U378">
        <v>4</v>
      </c>
      <c r="V378">
        <v>28</v>
      </c>
      <c r="W378">
        <v>4</v>
      </c>
    </row>
    <row r="379" spans="1:23" x14ac:dyDescent="0.25">
      <c r="A379" s="1" t="s">
        <v>23</v>
      </c>
      <c r="B379" s="1" t="s">
        <v>54</v>
      </c>
      <c r="C379" s="1" t="s">
        <v>25</v>
      </c>
      <c r="D379" s="1" t="s">
        <v>26</v>
      </c>
      <c r="E379" s="1" t="s">
        <v>55</v>
      </c>
      <c r="F379" s="1" t="s">
        <v>52</v>
      </c>
      <c r="G379" s="1" t="s">
        <v>437</v>
      </c>
      <c r="H379">
        <v>378</v>
      </c>
      <c r="I379" s="1" t="s">
        <v>36</v>
      </c>
      <c r="J379" s="1" t="s">
        <v>70</v>
      </c>
      <c r="K379" s="1" t="s">
        <v>38</v>
      </c>
      <c r="L379" s="1" t="s">
        <v>23</v>
      </c>
      <c r="M379">
        <v>29</v>
      </c>
      <c r="N379">
        <v>99909</v>
      </c>
      <c r="O379">
        <v>4</v>
      </c>
      <c r="P379">
        <v>4</v>
      </c>
      <c r="Q379">
        <v>7</v>
      </c>
      <c r="R379">
        <v>36</v>
      </c>
      <c r="S379">
        <v>5</v>
      </c>
      <c r="T379">
        <v>4</v>
      </c>
      <c r="U379">
        <v>4</v>
      </c>
      <c r="V379">
        <v>16</v>
      </c>
      <c r="W379">
        <v>5</v>
      </c>
    </row>
    <row r="380" spans="1:23" x14ac:dyDescent="0.25">
      <c r="A380" s="1" t="s">
        <v>33</v>
      </c>
      <c r="B380" s="1" t="s">
        <v>44</v>
      </c>
      <c r="C380" s="1" t="s">
        <v>39</v>
      </c>
      <c r="D380" s="1" t="s">
        <v>73</v>
      </c>
      <c r="E380" s="1" t="s">
        <v>40</v>
      </c>
      <c r="F380" s="1" t="s">
        <v>68</v>
      </c>
      <c r="G380" s="1" t="s">
        <v>438</v>
      </c>
      <c r="H380">
        <v>379</v>
      </c>
      <c r="I380" s="1" t="s">
        <v>36</v>
      </c>
      <c r="J380" s="1" t="s">
        <v>43</v>
      </c>
      <c r="K380" s="1" t="s">
        <v>32</v>
      </c>
      <c r="L380" s="1" t="s">
        <v>23</v>
      </c>
      <c r="M380">
        <v>39</v>
      </c>
      <c r="N380">
        <v>102012</v>
      </c>
      <c r="O380">
        <v>1</v>
      </c>
      <c r="P380">
        <v>1</v>
      </c>
      <c r="Q380">
        <v>37</v>
      </c>
      <c r="R380">
        <v>2</v>
      </c>
      <c r="S380">
        <v>1</v>
      </c>
      <c r="T380">
        <v>3</v>
      </c>
      <c r="U380">
        <v>4</v>
      </c>
      <c r="V380">
        <v>26</v>
      </c>
      <c r="W380">
        <v>5</v>
      </c>
    </row>
    <row r="381" spans="1:23" x14ac:dyDescent="0.25">
      <c r="A381" s="1" t="s">
        <v>23</v>
      </c>
      <c r="B381" s="1" t="s">
        <v>44</v>
      </c>
      <c r="C381" s="1" t="s">
        <v>65</v>
      </c>
      <c r="D381" s="1" t="s">
        <v>26</v>
      </c>
      <c r="E381" s="1" t="s">
        <v>27</v>
      </c>
      <c r="F381" s="1" t="s">
        <v>66</v>
      </c>
      <c r="G381" s="1" t="s">
        <v>439</v>
      </c>
      <c r="H381">
        <v>380</v>
      </c>
      <c r="I381" s="1" t="s">
        <v>36</v>
      </c>
      <c r="J381" s="1" t="s">
        <v>37</v>
      </c>
      <c r="K381" s="1" t="s">
        <v>38</v>
      </c>
      <c r="L381" s="1" t="s">
        <v>23</v>
      </c>
      <c r="M381">
        <v>43</v>
      </c>
      <c r="N381">
        <v>32797</v>
      </c>
      <c r="O381">
        <v>2</v>
      </c>
      <c r="P381">
        <v>2</v>
      </c>
      <c r="Q381">
        <v>15</v>
      </c>
      <c r="R381">
        <v>41</v>
      </c>
      <c r="S381">
        <v>2</v>
      </c>
      <c r="T381">
        <v>1</v>
      </c>
      <c r="U381">
        <v>3</v>
      </c>
      <c r="V381">
        <v>28</v>
      </c>
      <c r="W381">
        <v>3</v>
      </c>
    </row>
    <row r="382" spans="1:23" x14ac:dyDescent="0.25">
      <c r="A382" s="1" t="s">
        <v>23</v>
      </c>
      <c r="B382" s="1" t="s">
        <v>44</v>
      </c>
      <c r="C382" s="1" t="s">
        <v>34</v>
      </c>
      <c r="D382" s="1" t="s">
        <v>26</v>
      </c>
      <c r="E382" s="1" t="s">
        <v>51</v>
      </c>
      <c r="F382" s="1" t="s">
        <v>66</v>
      </c>
      <c r="G382" s="1" t="s">
        <v>440</v>
      </c>
      <c r="H382">
        <v>381</v>
      </c>
      <c r="I382" s="1" t="s">
        <v>36</v>
      </c>
      <c r="J382" s="1" t="s">
        <v>41</v>
      </c>
      <c r="K382" s="1" t="s">
        <v>32</v>
      </c>
      <c r="L382" s="1" t="s">
        <v>23</v>
      </c>
      <c r="M382">
        <v>38</v>
      </c>
      <c r="N382">
        <v>23348</v>
      </c>
      <c r="O382">
        <v>4</v>
      </c>
      <c r="P382">
        <v>1</v>
      </c>
      <c r="Q382">
        <v>20</v>
      </c>
      <c r="R382">
        <v>24</v>
      </c>
      <c r="S382">
        <v>4</v>
      </c>
      <c r="T382">
        <v>4</v>
      </c>
      <c r="U382">
        <v>4</v>
      </c>
      <c r="V382">
        <v>19</v>
      </c>
      <c r="W382">
        <v>1</v>
      </c>
    </row>
    <row r="383" spans="1:23" x14ac:dyDescent="0.25">
      <c r="A383" s="1" t="s">
        <v>23</v>
      </c>
      <c r="B383" s="1" t="s">
        <v>24</v>
      </c>
      <c r="C383" s="1" t="s">
        <v>34</v>
      </c>
      <c r="D383" s="1" t="s">
        <v>26</v>
      </c>
      <c r="E383" s="1" t="s">
        <v>46</v>
      </c>
      <c r="F383" s="1" t="s">
        <v>46</v>
      </c>
      <c r="G383" s="1" t="s">
        <v>441</v>
      </c>
      <c r="H383">
        <v>382</v>
      </c>
      <c r="I383" s="1" t="s">
        <v>36</v>
      </c>
      <c r="J383" s="1" t="s">
        <v>59</v>
      </c>
      <c r="K383" s="1" t="s">
        <v>32</v>
      </c>
      <c r="L383" s="1" t="s">
        <v>23</v>
      </c>
      <c r="M383">
        <v>31</v>
      </c>
      <c r="N383">
        <v>179173</v>
      </c>
      <c r="O383">
        <v>3</v>
      </c>
      <c r="P383">
        <v>3</v>
      </c>
      <c r="Q383">
        <v>27</v>
      </c>
      <c r="R383">
        <v>12</v>
      </c>
      <c r="S383">
        <v>3</v>
      </c>
      <c r="T383">
        <v>1</v>
      </c>
      <c r="U383">
        <v>3</v>
      </c>
      <c r="V383">
        <v>10</v>
      </c>
      <c r="W383">
        <v>3</v>
      </c>
    </row>
    <row r="384" spans="1:23" x14ac:dyDescent="0.25">
      <c r="A384" s="1" t="s">
        <v>23</v>
      </c>
      <c r="B384" s="1" t="s">
        <v>24</v>
      </c>
      <c r="C384" s="1" t="s">
        <v>57</v>
      </c>
      <c r="D384" s="1" t="s">
        <v>26</v>
      </c>
      <c r="E384" s="1" t="s">
        <v>40</v>
      </c>
      <c r="F384" s="1" t="s">
        <v>41</v>
      </c>
      <c r="G384" s="1" t="s">
        <v>442</v>
      </c>
      <c r="H384">
        <v>383</v>
      </c>
      <c r="I384" s="1" t="s">
        <v>30</v>
      </c>
      <c r="J384" s="1" t="s">
        <v>43</v>
      </c>
      <c r="K384" s="1" t="s">
        <v>50</v>
      </c>
      <c r="L384" s="1" t="s">
        <v>23</v>
      </c>
      <c r="M384">
        <v>38</v>
      </c>
      <c r="N384">
        <v>35634</v>
      </c>
      <c r="O384">
        <v>4</v>
      </c>
      <c r="P384">
        <v>4</v>
      </c>
      <c r="Q384">
        <v>13</v>
      </c>
      <c r="R384">
        <v>22</v>
      </c>
      <c r="S384">
        <v>6</v>
      </c>
      <c r="T384">
        <v>1</v>
      </c>
      <c r="U384">
        <v>4</v>
      </c>
      <c r="V384">
        <v>17</v>
      </c>
      <c r="W384">
        <v>3</v>
      </c>
    </row>
    <row r="385" spans="1:23" x14ac:dyDescent="0.25">
      <c r="A385" s="1" t="s">
        <v>23</v>
      </c>
      <c r="B385" s="1" t="s">
        <v>44</v>
      </c>
      <c r="C385" s="1" t="s">
        <v>39</v>
      </c>
      <c r="D385" s="1" t="s">
        <v>26</v>
      </c>
      <c r="E385" s="1" t="s">
        <v>55</v>
      </c>
      <c r="F385" s="1" t="s">
        <v>68</v>
      </c>
      <c r="G385" s="1" t="s">
        <v>443</v>
      </c>
      <c r="H385">
        <v>384</v>
      </c>
      <c r="I385" s="1" t="s">
        <v>36</v>
      </c>
      <c r="J385" s="1" t="s">
        <v>43</v>
      </c>
      <c r="K385" s="1" t="s">
        <v>32</v>
      </c>
      <c r="L385" s="1" t="s">
        <v>23</v>
      </c>
      <c r="M385">
        <v>56</v>
      </c>
      <c r="N385">
        <v>65343</v>
      </c>
      <c r="O385">
        <v>1</v>
      </c>
      <c r="P385">
        <v>2</v>
      </c>
      <c r="Q385">
        <v>36</v>
      </c>
      <c r="R385">
        <v>31</v>
      </c>
      <c r="S385">
        <v>1</v>
      </c>
      <c r="T385">
        <v>4</v>
      </c>
      <c r="U385">
        <v>4</v>
      </c>
      <c r="V385">
        <v>30</v>
      </c>
      <c r="W385">
        <v>5</v>
      </c>
    </row>
    <row r="386" spans="1:23" x14ac:dyDescent="0.25">
      <c r="A386" s="1" t="s">
        <v>23</v>
      </c>
      <c r="B386" s="1" t="s">
        <v>54</v>
      </c>
      <c r="C386" s="1" t="s">
        <v>65</v>
      </c>
      <c r="D386" s="1" t="s">
        <v>26</v>
      </c>
      <c r="E386" s="1" t="s">
        <v>40</v>
      </c>
      <c r="F386" s="1" t="s">
        <v>52</v>
      </c>
      <c r="G386" s="1" t="s">
        <v>444</v>
      </c>
      <c r="H386">
        <v>385</v>
      </c>
      <c r="I386" s="1" t="s">
        <v>30</v>
      </c>
      <c r="J386" s="1" t="s">
        <v>59</v>
      </c>
      <c r="K386" s="1" t="s">
        <v>50</v>
      </c>
      <c r="L386" s="1" t="s">
        <v>23</v>
      </c>
      <c r="M386">
        <v>50</v>
      </c>
      <c r="N386">
        <v>56730</v>
      </c>
      <c r="O386">
        <v>2</v>
      </c>
      <c r="P386">
        <v>2</v>
      </c>
      <c r="Q386">
        <v>19</v>
      </c>
      <c r="R386">
        <v>27</v>
      </c>
      <c r="S386">
        <v>3</v>
      </c>
      <c r="T386">
        <v>3</v>
      </c>
      <c r="U386">
        <v>3</v>
      </c>
      <c r="V386">
        <v>21</v>
      </c>
      <c r="W386">
        <v>2</v>
      </c>
    </row>
    <row r="387" spans="1:23" x14ac:dyDescent="0.25">
      <c r="A387" s="1" t="s">
        <v>33</v>
      </c>
      <c r="B387" s="1" t="s">
        <v>54</v>
      </c>
      <c r="C387" s="1" t="s">
        <v>34</v>
      </c>
      <c r="D387" s="1" t="s">
        <v>73</v>
      </c>
      <c r="E387" s="1" t="s">
        <v>27</v>
      </c>
      <c r="F387" s="1" t="s">
        <v>28</v>
      </c>
      <c r="G387" s="1" t="s">
        <v>445</v>
      </c>
      <c r="H387">
        <v>386</v>
      </c>
      <c r="I387" s="1" t="s">
        <v>36</v>
      </c>
      <c r="J387" s="1" t="s">
        <v>43</v>
      </c>
      <c r="K387" s="1" t="s">
        <v>50</v>
      </c>
      <c r="L387" s="1" t="s">
        <v>23</v>
      </c>
      <c r="M387">
        <v>36</v>
      </c>
      <c r="N387">
        <v>47768</v>
      </c>
      <c r="O387">
        <v>2</v>
      </c>
      <c r="P387">
        <v>2</v>
      </c>
      <c r="Q387">
        <v>1</v>
      </c>
      <c r="R387">
        <v>15</v>
      </c>
      <c r="S387">
        <v>6</v>
      </c>
      <c r="T387">
        <v>3</v>
      </c>
      <c r="U387">
        <v>4</v>
      </c>
      <c r="V387">
        <v>16</v>
      </c>
      <c r="W387">
        <v>5</v>
      </c>
    </row>
    <row r="388" spans="1:23" x14ac:dyDescent="0.25">
      <c r="A388" s="1" t="s">
        <v>33</v>
      </c>
      <c r="B388" s="1" t="s">
        <v>24</v>
      </c>
      <c r="C388" s="1" t="s">
        <v>34</v>
      </c>
      <c r="D388" s="1" t="s">
        <v>73</v>
      </c>
      <c r="E388" s="1" t="s">
        <v>60</v>
      </c>
      <c r="F388" s="1" t="s">
        <v>28</v>
      </c>
      <c r="G388" s="1" t="s">
        <v>446</v>
      </c>
      <c r="H388">
        <v>387</v>
      </c>
      <c r="I388" s="1" t="s">
        <v>36</v>
      </c>
      <c r="J388" s="1" t="s">
        <v>70</v>
      </c>
      <c r="K388" s="1" t="s">
        <v>50</v>
      </c>
      <c r="L388" s="1" t="s">
        <v>23</v>
      </c>
      <c r="M388">
        <v>38</v>
      </c>
      <c r="N388">
        <v>162364</v>
      </c>
      <c r="O388">
        <v>2</v>
      </c>
      <c r="P388">
        <v>1</v>
      </c>
      <c r="Q388">
        <v>31</v>
      </c>
      <c r="R388">
        <v>1</v>
      </c>
      <c r="S388">
        <v>0</v>
      </c>
      <c r="T388">
        <v>1</v>
      </c>
      <c r="U388">
        <v>4</v>
      </c>
      <c r="V388">
        <v>20</v>
      </c>
      <c r="W388">
        <v>3</v>
      </c>
    </row>
    <row r="389" spans="1:23" x14ac:dyDescent="0.25">
      <c r="A389" s="1" t="s">
        <v>33</v>
      </c>
      <c r="B389" s="1" t="s">
        <v>44</v>
      </c>
      <c r="C389" s="1" t="s">
        <v>65</v>
      </c>
      <c r="D389" s="1" t="s">
        <v>73</v>
      </c>
      <c r="E389" s="1" t="s">
        <v>40</v>
      </c>
      <c r="F389" s="1" t="s">
        <v>52</v>
      </c>
      <c r="G389" s="1" t="s">
        <v>447</v>
      </c>
      <c r="H389">
        <v>388</v>
      </c>
      <c r="I389" s="1" t="s">
        <v>30</v>
      </c>
      <c r="J389" s="1" t="s">
        <v>41</v>
      </c>
      <c r="K389" s="1" t="s">
        <v>32</v>
      </c>
      <c r="L389" s="1" t="s">
        <v>33</v>
      </c>
      <c r="M389">
        <v>36</v>
      </c>
      <c r="N389">
        <v>47342</v>
      </c>
      <c r="O389">
        <v>1</v>
      </c>
      <c r="P389">
        <v>3</v>
      </c>
      <c r="Q389">
        <v>31</v>
      </c>
      <c r="R389">
        <v>5</v>
      </c>
      <c r="S389">
        <v>1</v>
      </c>
      <c r="T389">
        <v>1</v>
      </c>
      <c r="U389">
        <v>4</v>
      </c>
      <c r="V389">
        <v>11</v>
      </c>
      <c r="W389">
        <v>5</v>
      </c>
    </row>
    <row r="390" spans="1:23" x14ac:dyDescent="0.25">
      <c r="A390" s="1" t="s">
        <v>23</v>
      </c>
      <c r="B390" s="1" t="s">
        <v>24</v>
      </c>
      <c r="C390" s="1" t="s">
        <v>65</v>
      </c>
      <c r="D390" s="1" t="s">
        <v>26</v>
      </c>
      <c r="E390" s="1" t="s">
        <v>46</v>
      </c>
      <c r="F390" s="1" t="s">
        <v>68</v>
      </c>
      <c r="G390" s="1" t="s">
        <v>448</v>
      </c>
      <c r="H390">
        <v>389</v>
      </c>
      <c r="I390" s="1" t="s">
        <v>30</v>
      </c>
      <c r="J390" s="1" t="s">
        <v>70</v>
      </c>
      <c r="K390" s="1" t="s">
        <v>50</v>
      </c>
      <c r="L390" s="1" t="s">
        <v>33</v>
      </c>
      <c r="M390">
        <v>34</v>
      </c>
      <c r="N390">
        <v>89970</v>
      </c>
      <c r="O390">
        <v>4</v>
      </c>
      <c r="P390">
        <v>4</v>
      </c>
      <c r="Q390">
        <v>16</v>
      </c>
      <c r="R390">
        <v>37</v>
      </c>
      <c r="S390">
        <v>0</v>
      </c>
      <c r="T390">
        <v>4</v>
      </c>
      <c r="U390">
        <v>4</v>
      </c>
      <c r="V390">
        <v>23</v>
      </c>
      <c r="W390">
        <v>1</v>
      </c>
    </row>
    <row r="391" spans="1:23" x14ac:dyDescent="0.25">
      <c r="A391" s="1" t="s">
        <v>23</v>
      </c>
      <c r="B391" s="1" t="s">
        <v>24</v>
      </c>
      <c r="C391" s="1" t="s">
        <v>34</v>
      </c>
      <c r="D391" s="1" t="s">
        <v>26</v>
      </c>
      <c r="E391" s="1" t="s">
        <v>46</v>
      </c>
      <c r="F391" s="1" t="s">
        <v>46</v>
      </c>
      <c r="G391" s="1" t="s">
        <v>449</v>
      </c>
      <c r="H391">
        <v>390</v>
      </c>
      <c r="I391" s="1" t="s">
        <v>30</v>
      </c>
      <c r="J391" s="1" t="s">
        <v>37</v>
      </c>
      <c r="K391" s="1" t="s">
        <v>38</v>
      </c>
      <c r="L391" s="1" t="s">
        <v>23</v>
      </c>
      <c r="M391">
        <v>40</v>
      </c>
      <c r="N391">
        <v>23524</v>
      </c>
      <c r="O391">
        <v>1</v>
      </c>
      <c r="P391">
        <v>1</v>
      </c>
      <c r="Q391">
        <v>15</v>
      </c>
      <c r="R391">
        <v>16</v>
      </c>
      <c r="S391">
        <v>4</v>
      </c>
      <c r="T391">
        <v>4</v>
      </c>
      <c r="U391">
        <v>4</v>
      </c>
      <c r="V391">
        <v>21</v>
      </c>
      <c r="W391">
        <v>3</v>
      </c>
    </row>
    <row r="392" spans="1:23" x14ac:dyDescent="0.25">
      <c r="A392" s="1" t="s">
        <v>33</v>
      </c>
      <c r="B392" s="1" t="s">
        <v>24</v>
      </c>
      <c r="C392" s="1" t="s">
        <v>39</v>
      </c>
      <c r="D392" s="1" t="s">
        <v>73</v>
      </c>
      <c r="E392" s="1" t="s">
        <v>51</v>
      </c>
      <c r="F392" s="1" t="s">
        <v>68</v>
      </c>
      <c r="G392" s="1" t="s">
        <v>450</v>
      </c>
      <c r="H392">
        <v>391</v>
      </c>
      <c r="I392" s="1" t="s">
        <v>36</v>
      </c>
      <c r="J392" s="1" t="s">
        <v>64</v>
      </c>
      <c r="K392" s="1" t="s">
        <v>38</v>
      </c>
      <c r="L392" s="1" t="s">
        <v>23</v>
      </c>
      <c r="M392">
        <v>40</v>
      </c>
      <c r="N392">
        <v>41658</v>
      </c>
      <c r="O392">
        <v>2</v>
      </c>
      <c r="P392">
        <v>3</v>
      </c>
      <c r="Q392">
        <v>13</v>
      </c>
      <c r="R392">
        <v>10</v>
      </c>
      <c r="S392">
        <v>3</v>
      </c>
      <c r="T392">
        <v>3</v>
      </c>
      <c r="U392">
        <v>4</v>
      </c>
      <c r="V392">
        <v>26</v>
      </c>
      <c r="W392">
        <v>1</v>
      </c>
    </row>
    <row r="393" spans="1:23" x14ac:dyDescent="0.25">
      <c r="A393" s="1" t="s">
        <v>23</v>
      </c>
      <c r="B393" s="1" t="s">
        <v>44</v>
      </c>
      <c r="C393" s="1" t="s">
        <v>25</v>
      </c>
      <c r="D393" s="1" t="s">
        <v>26</v>
      </c>
      <c r="E393" s="1" t="s">
        <v>40</v>
      </c>
      <c r="F393" s="1" t="s">
        <v>52</v>
      </c>
      <c r="G393" s="1" t="s">
        <v>451</v>
      </c>
      <c r="H393">
        <v>392</v>
      </c>
      <c r="I393" s="1" t="s">
        <v>36</v>
      </c>
      <c r="J393" s="1" t="s">
        <v>37</v>
      </c>
      <c r="K393" s="1" t="s">
        <v>32</v>
      </c>
      <c r="L393" s="1" t="s">
        <v>23</v>
      </c>
      <c r="M393">
        <v>27</v>
      </c>
      <c r="N393">
        <v>60033</v>
      </c>
      <c r="O393">
        <v>3</v>
      </c>
      <c r="P393">
        <v>1</v>
      </c>
      <c r="Q393">
        <v>22</v>
      </c>
      <c r="R393">
        <v>26</v>
      </c>
      <c r="S393">
        <v>4</v>
      </c>
      <c r="T393">
        <v>3</v>
      </c>
      <c r="U393">
        <v>4</v>
      </c>
      <c r="V393">
        <v>23</v>
      </c>
      <c r="W393">
        <v>1</v>
      </c>
    </row>
    <row r="394" spans="1:23" x14ac:dyDescent="0.25">
      <c r="A394" s="1" t="s">
        <v>23</v>
      </c>
      <c r="B394" s="1" t="s">
        <v>54</v>
      </c>
      <c r="C394" s="1" t="s">
        <v>39</v>
      </c>
      <c r="D394" s="1" t="s">
        <v>26</v>
      </c>
      <c r="E394" s="1" t="s">
        <v>55</v>
      </c>
      <c r="F394" s="1" t="s">
        <v>68</v>
      </c>
      <c r="G394" s="1" t="s">
        <v>452</v>
      </c>
      <c r="H394">
        <v>393</v>
      </c>
      <c r="I394" s="1" t="s">
        <v>30</v>
      </c>
      <c r="J394" s="1" t="s">
        <v>64</v>
      </c>
      <c r="K394" s="1" t="s">
        <v>38</v>
      </c>
      <c r="L394" s="1" t="s">
        <v>33</v>
      </c>
      <c r="M394">
        <v>40</v>
      </c>
      <c r="N394">
        <v>100240</v>
      </c>
      <c r="O394">
        <v>1</v>
      </c>
      <c r="P394">
        <v>1</v>
      </c>
      <c r="Q394">
        <v>10</v>
      </c>
      <c r="R394">
        <v>15</v>
      </c>
      <c r="S394">
        <v>4</v>
      </c>
      <c r="T394">
        <v>2</v>
      </c>
      <c r="U394">
        <v>4</v>
      </c>
      <c r="V394">
        <v>26</v>
      </c>
      <c r="W394">
        <v>3</v>
      </c>
    </row>
    <row r="395" spans="1:23" x14ac:dyDescent="0.25">
      <c r="A395" s="1" t="s">
        <v>23</v>
      </c>
      <c r="B395" s="1" t="s">
        <v>44</v>
      </c>
      <c r="C395" s="1" t="s">
        <v>65</v>
      </c>
      <c r="D395" s="1" t="s">
        <v>26</v>
      </c>
      <c r="E395" s="1" t="s">
        <v>55</v>
      </c>
      <c r="F395" s="1" t="s">
        <v>28</v>
      </c>
      <c r="G395" s="1" t="s">
        <v>453</v>
      </c>
      <c r="H395">
        <v>394</v>
      </c>
      <c r="I395" s="1" t="s">
        <v>36</v>
      </c>
      <c r="J395" s="1" t="s">
        <v>76</v>
      </c>
      <c r="K395" s="1" t="s">
        <v>50</v>
      </c>
      <c r="L395" s="1" t="s">
        <v>33</v>
      </c>
      <c r="M395">
        <v>47</v>
      </c>
      <c r="N395">
        <v>114364</v>
      </c>
      <c r="O395">
        <v>2</v>
      </c>
      <c r="P395">
        <v>4</v>
      </c>
      <c r="Q395">
        <v>24</v>
      </c>
      <c r="R395">
        <v>36</v>
      </c>
      <c r="S395">
        <v>1</v>
      </c>
      <c r="T395">
        <v>1</v>
      </c>
      <c r="U395">
        <v>3</v>
      </c>
      <c r="V395">
        <v>30</v>
      </c>
      <c r="W395">
        <v>5</v>
      </c>
    </row>
    <row r="396" spans="1:23" x14ac:dyDescent="0.25">
      <c r="A396" s="1" t="s">
        <v>23</v>
      </c>
      <c r="B396" s="1" t="s">
        <v>44</v>
      </c>
      <c r="C396" s="1" t="s">
        <v>39</v>
      </c>
      <c r="D396" s="1" t="s">
        <v>26</v>
      </c>
      <c r="E396" s="1" t="s">
        <v>60</v>
      </c>
      <c r="F396" s="1" t="s">
        <v>28</v>
      </c>
      <c r="G396" s="1" t="s">
        <v>454</v>
      </c>
      <c r="H396">
        <v>395</v>
      </c>
      <c r="I396" s="1" t="s">
        <v>36</v>
      </c>
      <c r="J396" s="1" t="s">
        <v>70</v>
      </c>
      <c r="K396" s="1" t="s">
        <v>50</v>
      </c>
      <c r="L396" s="1" t="s">
        <v>23</v>
      </c>
      <c r="M396">
        <v>60</v>
      </c>
      <c r="N396">
        <v>130434</v>
      </c>
      <c r="O396">
        <v>3</v>
      </c>
      <c r="P396">
        <v>2</v>
      </c>
      <c r="Q396">
        <v>5</v>
      </c>
      <c r="R396">
        <v>23</v>
      </c>
      <c r="S396">
        <v>1</v>
      </c>
      <c r="T396">
        <v>1</v>
      </c>
      <c r="U396">
        <v>3</v>
      </c>
      <c r="V396">
        <v>23</v>
      </c>
      <c r="W396">
        <v>5</v>
      </c>
    </row>
    <row r="397" spans="1:23" x14ac:dyDescent="0.25">
      <c r="A397" s="1" t="s">
        <v>23</v>
      </c>
      <c r="B397" s="1" t="s">
        <v>54</v>
      </c>
      <c r="C397" s="1" t="s">
        <v>65</v>
      </c>
      <c r="D397" s="1" t="s">
        <v>26</v>
      </c>
      <c r="E397" s="1" t="s">
        <v>40</v>
      </c>
      <c r="F397" s="1" t="s">
        <v>68</v>
      </c>
      <c r="G397" s="1" t="s">
        <v>455</v>
      </c>
      <c r="H397">
        <v>396</v>
      </c>
      <c r="I397" s="1" t="s">
        <v>30</v>
      </c>
      <c r="J397" s="1" t="s">
        <v>48</v>
      </c>
      <c r="K397" s="1" t="s">
        <v>32</v>
      </c>
      <c r="L397" s="1" t="s">
        <v>33</v>
      </c>
      <c r="M397">
        <v>33</v>
      </c>
      <c r="N397">
        <v>87783</v>
      </c>
      <c r="O397">
        <v>3</v>
      </c>
      <c r="P397">
        <v>4</v>
      </c>
      <c r="Q397">
        <v>24</v>
      </c>
      <c r="R397">
        <v>8</v>
      </c>
      <c r="S397">
        <v>3</v>
      </c>
      <c r="T397">
        <v>2</v>
      </c>
      <c r="U397">
        <v>3</v>
      </c>
      <c r="V397">
        <v>27</v>
      </c>
      <c r="W397">
        <v>3</v>
      </c>
    </row>
    <row r="398" spans="1:23" x14ac:dyDescent="0.25">
      <c r="A398" s="1" t="s">
        <v>23</v>
      </c>
      <c r="B398" s="1" t="s">
        <v>44</v>
      </c>
      <c r="C398" s="1" t="s">
        <v>34</v>
      </c>
      <c r="D398" s="1" t="s">
        <v>26</v>
      </c>
      <c r="E398" s="1" t="s">
        <v>55</v>
      </c>
      <c r="F398" s="1" t="s">
        <v>28</v>
      </c>
      <c r="G398" s="1" t="s">
        <v>456</v>
      </c>
      <c r="H398">
        <v>397</v>
      </c>
      <c r="I398" s="1" t="s">
        <v>30</v>
      </c>
      <c r="J398" s="1" t="s">
        <v>76</v>
      </c>
      <c r="K398" s="1" t="s">
        <v>38</v>
      </c>
      <c r="L398" s="1" t="s">
        <v>33</v>
      </c>
      <c r="M398">
        <v>60</v>
      </c>
      <c r="N398">
        <v>136220</v>
      </c>
      <c r="O398">
        <v>2</v>
      </c>
      <c r="P398">
        <v>3</v>
      </c>
      <c r="Q398">
        <v>37</v>
      </c>
      <c r="R398">
        <v>41</v>
      </c>
      <c r="S398">
        <v>3</v>
      </c>
      <c r="T398">
        <v>1</v>
      </c>
      <c r="U398">
        <v>3</v>
      </c>
      <c r="V398">
        <v>16</v>
      </c>
      <c r="W398">
        <v>2</v>
      </c>
    </row>
    <row r="399" spans="1:23" x14ac:dyDescent="0.25">
      <c r="A399" s="1" t="s">
        <v>33</v>
      </c>
      <c r="B399" s="1" t="s">
        <v>54</v>
      </c>
      <c r="C399" s="1" t="s">
        <v>57</v>
      </c>
      <c r="D399" s="1" t="s">
        <v>73</v>
      </c>
      <c r="E399" s="1" t="s">
        <v>40</v>
      </c>
      <c r="F399" s="1" t="s">
        <v>28</v>
      </c>
      <c r="G399" s="1" t="s">
        <v>457</v>
      </c>
      <c r="H399">
        <v>398</v>
      </c>
      <c r="I399" s="1" t="s">
        <v>36</v>
      </c>
      <c r="J399" s="1" t="s">
        <v>41</v>
      </c>
      <c r="K399" s="1" t="s">
        <v>32</v>
      </c>
      <c r="L399" s="1" t="s">
        <v>23</v>
      </c>
      <c r="M399">
        <v>25</v>
      </c>
      <c r="N399">
        <v>42976</v>
      </c>
      <c r="O399">
        <v>1</v>
      </c>
      <c r="P399">
        <v>1</v>
      </c>
      <c r="Q399">
        <v>21</v>
      </c>
      <c r="R399">
        <v>15</v>
      </c>
      <c r="S399">
        <v>3</v>
      </c>
      <c r="T399">
        <v>3</v>
      </c>
      <c r="U399">
        <v>3</v>
      </c>
      <c r="V399">
        <v>1</v>
      </c>
      <c r="W399">
        <v>3</v>
      </c>
    </row>
    <row r="400" spans="1:23" x14ac:dyDescent="0.25">
      <c r="A400" s="1" t="s">
        <v>23</v>
      </c>
      <c r="B400" s="1" t="s">
        <v>54</v>
      </c>
      <c r="C400" s="1" t="s">
        <v>34</v>
      </c>
      <c r="D400" s="1" t="s">
        <v>26</v>
      </c>
      <c r="E400" s="1" t="s">
        <v>40</v>
      </c>
      <c r="F400" s="1" t="s">
        <v>46</v>
      </c>
      <c r="G400" s="1" t="s">
        <v>458</v>
      </c>
      <c r="H400">
        <v>399</v>
      </c>
      <c r="I400" s="1" t="s">
        <v>30</v>
      </c>
      <c r="J400" s="1" t="s">
        <v>59</v>
      </c>
      <c r="K400" s="1" t="s">
        <v>50</v>
      </c>
      <c r="L400" s="1" t="s">
        <v>33</v>
      </c>
      <c r="M400">
        <v>37</v>
      </c>
      <c r="N400">
        <v>62529</v>
      </c>
      <c r="O400">
        <v>4</v>
      </c>
      <c r="P400">
        <v>3</v>
      </c>
      <c r="Q400">
        <v>29</v>
      </c>
      <c r="R400">
        <v>8</v>
      </c>
      <c r="S400">
        <v>0</v>
      </c>
      <c r="T400">
        <v>3</v>
      </c>
      <c r="U400">
        <v>4</v>
      </c>
      <c r="V400">
        <v>5</v>
      </c>
      <c r="W400">
        <v>3</v>
      </c>
    </row>
    <row r="401" spans="1:23" x14ac:dyDescent="0.25">
      <c r="A401" s="1" t="s">
        <v>23</v>
      </c>
      <c r="B401" s="1" t="s">
        <v>44</v>
      </c>
      <c r="C401" s="1" t="s">
        <v>25</v>
      </c>
      <c r="D401" s="1" t="s">
        <v>26</v>
      </c>
      <c r="E401" s="1" t="s">
        <v>55</v>
      </c>
      <c r="F401" s="1" t="s">
        <v>46</v>
      </c>
      <c r="G401" s="1" t="s">
        <v>459</v>
      </c>
      <c r="H401">
        <v>400</v>
      </c>
      <c r="I401" s="1" t="s">
        <v>36</v>
      </c>
      <c r="J401" s="1" t="s">
        <v>41</v>
      </c>
      <c r="K401" s="1" t="s">
        <v>38</v>
      </c>
      <c r="L401" s="1" t="s">
        <v>23</v>
      </c>
      <c r="M401">
        <v>60</v>
      </c>
      <c r="N401">
        <v>87142</v>
      </c>
      <c r="O401">
        <v>3</v>
      </c>
      <c r="P401">
        <v>4</v>
      </c>
      <c r="Q401">
        <v>10</v>
      </c>
      <c r="R401">
        <v>20</v>
      </c>
      <c r="S401">
        <v>5</v>
      </c>
      <c r="T401">
        <v>4</v>
      </c>
      <c r="U401">
        <v>3</v>
      </c>
      <c r="V401">
        <v>18</v>
      </c>
      <c r="W401">
        <v>4</v>
      </c>
    </row>
    <row r="402" spans="1:23" x14ac:dyDescent="0.25">
      <c r="A402" s="1" t="s">
        <v>23</v>
      </c>
      <c r="B402" s="1" t="s">
        <v>24</v>
      </c>
      <c r="C402" s="1" t="s">
        <v>34</v>
      </c>
      <c r="D402" s="1" t="s">
        <v>26</v>
      </c>
      <c r="E402" s="1" t="s">
        <v>55</v>
      </c>
      <c r="F402" s="1" t="s">
        <v>66</v>
      </c>
      <c r="G402" s="1" t="s">
        <v>460</v>
      </c>
      <c r="H402">
        <v>401</v>
      </c>
      <c r="I402" s="1" t="s">
        <v>36</v>
      </c>
      <c r="J402" s="1" t="s">
        <v>76</v>
      </c>
      <c r="K402" s="1" t="s">
        <v>50</v>
      </c>
      <c r="L402" s="1" t="s">
        <v>23</v>
      </c>
      <c r="M402">
        <v>48</v>
      </c>
      <c r="N402">
        <v>48415</v>
      </c>
      <c r="O402">
        <v>4</v>
      </c>
      <c r="P402">
        <v>1</v>
      </c>
      <c r="Q402">
        <v>28</v>
      </c>
      <c r="R402">
        <v>22</v>
      </c>
      <c r="S402">
        <v>5</v>
      </c>
      <c r="T402">
        <v>4</v>
      </c>
      <c r="U402">
        <v>4</v>
      </c>
      <c r="V402">
        <v>16</v>
      </c>
      <c r="W402">
        <v>1</v>
      </c>
    </row>
    <row r="403" spans="1:23" x14ac:dyDescent="0.25">
      <c r="A403" s="1" t="s">
        <v>33</v>
      </c>
      <c r="B403" s="1" t="s">
        <v>44</v>
      </c>
      <c r="C403" s="1" t="s">
        <v>65</v>
      </c>
      <c r="D403" s="1" t="s">
        <v>73</v>
      </c>
      <c r="E403" s="1" t="s">
        <v>60</v>
      </c>
      <c r="F403" s="1" t="s">
        <v>66</v>
      </c>
      <c r="G403" s="1" t="s">
        <v>461</v>
      </c>
      <c r="H403">
        <v>402</v>
      </c>
      <c r="I403" s="1" t="s">
        <v>30</v>
      </c>
      <c r="J403" s="1" t="s">
        <v>76</v>
      </c>
      <c r="K403" s="1" t="s">
        <v>50</v>
      </c>
      <c r="L403" s="1" t="s">
        <v>33</v>
      </c>
      <c r="M403">
        <v>53</v>
      </c>
      <c r="N403">
        <v>89510</v>
      </c>
      <c r="O403">
        <v>2</v>
      </c>
      <c r="P403">
        <v>1</v>
      </c>
      <c r="Q403">
        <v>33</v>
      </c>
      <c r="R403">
        <v>36</v>
      </c>
      <c r="S403">
        <v>1</v>
      </c>
      <c r="T403">
        <v>4</v>
      </c>
      <c r="U403">
        <v>3</v>
      </c>
      <c r="V403">
        <v>8</v>
      </c>
      <c r="W403">
        <v>4</v>
      </c>
    </row>
    <row r="404" spans="1:23" x14ac:dyDescent="0.25">
      <c r="A404" s="1" t="s">
        <v>23</v>
      </c>
      <c r="B404" s="1" t="s">
        <v>44</v>
      </c>
      <c r="C404" s="1" t="s">
        <v>65</v>
      </c>
      <c r="D404" s="1" t="s">
        <v>26</v>
      </c>
      <c r="E404" s="1" t="s">
        <v>60</v>
      </c>
      <c r="F404" s="1" t="s">
        <v>52</v>
      </c>
      <c r="G404" s="1" t="s">
        <v>462</v>
      </c>
      <c r="H404">
        <v>403</v>
      </c>
      <c r="I404" s="1" t="s">
        <v>30</v>
      </c>
      <c r="J404" s="1" t="s">
        <v>41</v>
      </c>
      <c r="K404" s="1" t="s">
        <v>38</v>
      </c>
      <c r="L404" s="1" t="s">
        <v>33</v>
      </c>
      <c r="M404">
        <v>41</v>
      </c>
      <c r="N404">
        <v>58311</v>
      </c>
      <c r="O404">
        <v>1</v>
      </c>
      <c r="P404">
        <v>1</v>
      </c>
      <c r="Q404">
        <v>29</v>
      </c>
      <c r="R404">
        <v>42</v>
      </c>
      <c r="S404">
        <v>3</v>
      </c>
      <c r="T404">
        <v>4</v>
      </c>
      <c r="U404">
        <v>4</v>
      </c>
      <c r="V404">
        <v>20</v>
      </c>
      <c r="W404">
        <v>1</v>
      </c>
    </row>
    <row r="405" spans="1:23" x14ac:dyDescent="0.25">
      <c r="A405" s="1" t="s">
        <v>23</v>
      </c>
      <c r="B405" s="1" t="s">
        <v>44</v>
      </c>
      <c r="C405" s="1" t="s">
        <v>25</v>
      </c>
      <c r="D405" s="1" t="s">
        <v>26</v>
      </c>
      <c r="E405" s="1" t="s">
        <v>51</v>
      </c>
      <c r="F405" s="1" t="s">
        <v>46</v>
      </c>
      <c r="G405" s="1" t="s">
        <v>463</v>
      </c>
      <c r="H405">
        <v>404</v>
      </c>
      <c r="I405" s="1" t="s">
        <v>30</v>
      </c>
      <c r="J405" s="1" t="s">
        <v>48</v>
      </c>
      <c r="K405" s="1" t="s">
        <v>50</v>
      </c>
      <c r="L405" s="1" t="s">
        <v>23</v>
      </c>
      <c r="M405">
        <v>41</v>
      </c>
      <c r="N405">
        <v>32558</v>
      </c>
      <c r="O405">
        <v>1</v>
      </c>
      <c r="P405">
        <v>4</v>
      </c>
      <c r="Q405">
        <v>5</v>
      </c>
      <c r="R405">
        <v>25</v>
      </c>
      <c r="S405">
        <v>2</v>
      </c>
      <c r="T405">
        <v>2</v>
      </c>
      <c r="U405">
        <v>3</v>
      </c>
      <c r="V405">
        <v>25</v>
      </c>
      <c r="W405">
        <v>4</v>
      </c>
    </row>
    <row r="406" spans="1:23" x14ac:dyDescent="0.25">
      <c r="A406" s="1" t="s">
        <v>23</v>
      </c>
      <c r="B406" s="1" t="s">
        <v>44</v>
      </c>
      <c r="C406" s="1" t="s">
        <v>65</v>
      </c>
      <c r="D406" s="1" t="s">
        <v>26</v>
      </c>
      <c r="E406" s="1" t="s">
        <v>55</v>
      </c>
      <c r="F406" s="1" t="s">
        <v>68</v>
      </c>
      <c r="G406" s="1" t="s">
        <v>464</v>
      </c>
      <c r="H406">
        <v>405</v>
      </c>
      <c r="I406" s="1" t="s">
        <v>36</v>
      </c>
      <c r="J406" s="1" t="s">
        <v>70</v>
      </c>
      <c r="K406" s="1" t="s">
        <v>50</v>
      </c>
      <c r="L406" s="1" t="s">
        <v>23</v>
      </c>
      <c r="M406">
        <v>52</v>
      </c>
      <c r="N406">
        <v>131340</v>
      </c>
      <c r="O406">
        <v>3</v>
      </c>
      <c r="P406">
        <v>2</v>
      </c>
      <c r="Q406">
        <v>22</v>
      </c>
      <c r="R406">
        <v>42</v>
      </c>
      <c r="S406">
        <v>0</v>
      </c>
      <c r="T406">
        <v>3</v>
      </c>
      <c r="U406">
        <v>3</v>
      </c>
      <c r="V406">
        <v>16</v>
      </c>
      <c r="W406">
        <v>4</v>
      </c>
    </row>
    <row r="407" spans="1:23" x14ac:dyDescent="0.25">
      <c r="A407" s="1" t="s">
        <v>33</v>
      </c>
      <c r="B407" s="1" t="s">
        <v>54</v>
      </c>
      <c r="C407" s="1" t="s">
        <v>39</v>
      </c>
      <c r="D407" s="1" t="s">
        <v>73</v>
      </c>
      <c r="E407" s="1" t="s">
        <v>51</v>
      </c>
      <c r="F407" s="1" t="s">
        <v>68</v>
      </c>
      <c r="G407" s="1" t="s">
        <v>465</v>
      </c>
      <c r="H407">
        <v>406</v>
      </c>
      <c r="I407" s="1" t="s">
        <v>30</v>
      </c>
      <c r="J407" s="1" t="s">
        <v>41</v>
      </c>
      <c r="K407" s="1" t="s">
        <v>38</v>
      </c>
      <c r="L407" s="1" t="s">
        <v>33</v>
      </c>
      <c r="M407">
        <v>48</v>
      </c>
      <c r="N407">
        <v>129677</v>
      </c>
      <c r="O407">
        <v>1</v>
      </c>
      <c r="P407">
        <v>1</v>
      </c>
      <c r="Q407">
        <v>32</v>
      </c>
      <c r="R407">
        <v>21</v>
      </c>
      <c r="S407">
        <v>3</v>
      </c>
      <c r="T407">
        <v>2</v>
      </c>
      <c r="U407">
        <v>3</v>
      </c>
      <c r="V407">
        <v>30</v>
      </c>
      <c r="W407">
        <v>4</v>
      </c>
    </row>
    <row r="408" spans="1:23" x14ac:dyDescent="0.25">
      <c r="A408" s="1" t="s">
        <v>23</v>
      </c>
      <c r="B408" s="1" t="s">
        <v>44</v>
      </c>
      <c r="C408" s="1" t="s">
        <v>39</v>
      </c>
      <c r="D408" s="1" t="s">
        <v>26</v>
      </c>
      <c r="E408" s="1" t="s">
        <v>60</v>
      </c>
      <c r="F408" s="1" t="s">
        <v>68</v>
      </c>
      <c r="G408" s="1" t="s">
        <v>466</v>
      </c>
      <c r="H408">
        <v>407</v>
      </c>
      <c r="I408" s="1" t="s">
        <v>36</v>
      </c>
      <c r="J408" s="1" t="s">
        <v>31</v>
      </c>
      <c r="K408" s="1" t="s">
        <v>38</v>
      </c>
      <c r="L408" s="1" t="s">
        <v>23</v>
      </c>
      <c r="M408">
        <v>30</v>
      </c>
      <c r="N408">
        <v>51499</v>
      </c>
      <c r="O408">
        <v>3</v>
      </c>
      <c r="P408">
        <v>2</v>
      </c>
      <c r="Q408">
        <v>33</v>
      </c>
      <c r="R408">
        <v>27</v>
      </c>
      <c r="S408">
        <v>2</v>
      </c>
      <c r="T408">
        <v>1</v>
      </c>
      <c r="U408">
        <v>3</v>
      </c>
      <c r="V408">
        <v>30</v>
      </c>
      <c r="W408">
        <v>1</v>
      </c>
    </row>
    <row r="409" spans="1:23" x14ac:dyDescent="0.25">
      <c r="A409" s="1" t="s">
        <v>23</v>
      </c>
      <c r="B409" s="1" t="s">
        <v>24</v>
      </c>
      <c r="C409" s="1" t="s">
        <v>39</v>
      </c>
      <c r="D409" s="1" t="s">
        <v>26</v>
      </c>
      <c r="E409" s="1" t="s">
        <v>40</v>
      </c>
      <c r="F409" s="1" t="s">
        <v>68</v>
      </c>
      <c r="G409" s="1" t="s">
        <v>467</v>
      </c>
      <c r="H409">
        <v>408</v>
      </c>
      <c r="I409" s="1" t="s">
        <v>36</v>
      </c>
      <c r="J409" s="1" t="s">
        <v>37</v>
      </c>
      <c r="K409" s="1" t="s">
        <v>38</v>
      </c>
      <c r="L409" s="1" t="s">
        <v>33</v>
      </c>
      <c r="M409">
        <v>53</v>
      </c>
      <c r="N409">
        <v>22264</v>
      </c>
      <c r="O409">
        <v>1</v>
      </c>
      <c r="P409">
        <v>4</v>
      </c>
      <c r="Q409">
        <v>11</v>
      </c>
      <c r="R409">
        <v>11</v>
      </c>
      <c r="S409">
        <v>6</v>
      </c>
      <c r="T409">
        <v>4</v>
      </c>
      <c r="U409">
        <v>3</v>
      </c>
      <c r="V409">
        <v>3</v>
      </c>
      <c r="W409">
        <v>4</v>
      </c>
    </row>
    <row r="410" spans="1:23" x14ac:dyDescent="0.25">
      <c r="A410" s="1" t="s">
        <v>33</v>
      </c>
      <c r="B410" s="1" t="s">
        <v>54</v>
      </c>
      <c r="C410" s="1" t="s">
        <v>34</v>
      </c>
      <c r="D410" s="1" t="s">
        <v>73</v>
      </c>
      <c r="E410" s="1" t="s">
        <v>51</v>
      </c>
      <c r="F410" s="1" t="s">
        <v>68</v>
      </c>
      <c r="G410" s="1" t="s">
        <v>468</v>
      </c>
      <c r="H410">
        <v>409</v>
      </c>
      <c r="I410" s="1" t="s">
        <v>36</v>
      </c>
      <c r="J410" s="1" t="s">
        <v>43</v>
      </c>
      <c r="K410" s="1" t="s">
        <v>38</v>
      </c>
      <c r="L410" s="1" t="s">
        <v>23</v>
      </c>
      <c r="M410">
        <v>32</v>
      </c>
      <c r="N410">
        <v>73330</v>
      </c>
      <c r="O410">
        <v>2</v>
      </c>
      <c r="P410">
        <v>1</v>
      </c>
      <c r="Q410">
        <v>38</v>
      </c>
      <c r="R410">
        <v>16</v>
      </c>
      <c r="S410">
        <v>6</v>
      </c>
      <c r="T410">
        <v>1</v>
      </c>
      <c r="U410">
        <v>4</v>
      </c>
      <c r="V410">
        <v>18</v>
      </c>
      <c r="W410">
        <v>1</v>
      </c>
    </row>
    <row r="411" spans="1:23" x14ac:dyDescent="0.25">
      <c r="A411" s="1" t="s">
        <v>23</v>
      </c>
      <c r="B411" s="1" t="s">
        <v>54</v>
      </c>
      <c r="C411" s="1" t="s">
        <v>34</v>
      </c>
      <c r="D411" s="1" t="s">
        <v>26</v>
      </c>
      <c r="E411" s="1" t="s">
        <v>55</v>
      </c>
      <c r="F411" s="1" t="s">
        <v>68</v>
      </c>
      <c r="G411" s="1" t="s">
        <v>469</v>
      </c>
      <c r="H411">
        <v>410</v>
      </c>
      <c r="I411" s="1" t="s">
        <v>36</v>
      </c>
      <c r="J411" s="1" t="s">
        <v>41</v>
      </c>
      <c r="K411" s="1" t="s">
        <v>32</v>
      </c>
      <c r="L411" s="1" t="s">
        <v>23</v>
      </c>
      <c r="M411">
        <v>40</v>
      </c>
      <c r="N411">
        <v>179675</v>
      </c>
      <c r="O411">
        <v>3</v>
      </c>
      <c r="P411">
        <v>4</v>
      </c>
      <c r="Q411">
        <v>19</v>
      </c>
      <c r="R411">
        <v>5</v>
      </c>
      <c r="S411">
        <v>1</v>
      </c>
      <c r="T411">
        <v>2</v>
      </c>
      <c r="U411">
        <v>3</v>
      </c>
      <c r="V411">
        <v>7</v>
      </c>
      <c r="W411">
        <v>1</v>
      </c>
    </row>
    <row r="412" spans="1:23" x14ac:dyDescent="0.25">
      <c r="A412" s="1" t="s">
        <v>23</v>
      </c>
      <c r="B412" s="1" t="s">
        <v>24</v>
      </c>
      <c r="C412" s="1" t="s">
        <v>39</v>
      </c>
      <c r="D412" s="1" t="s">
        <v>26</v>
      </c>
      <c r="E412" s="1" t="s">
        <v>55</v>
      </c>
      <c r="F412" s="1" t="s">
        <v>28</v>
      </c>
      <c r="G412" s="1" t="s">
        <v>470</v>
      </c>
      <c r="H412">
        <v>411</v>
      </c>
      <c r="I412" s="1" t="s">
        <v>36</v>
      </c>
      <c r="J412" s="1" t="s">
        <v>70</v>
      </c>
      <c r="K412" s="1" t="s">
        <v>32</v>
      </c>
      <c r="L412" s="1" t="s">
        <v>33</v>
      </c>
      <c r="M412">
        <v>48</v>
      </c>
      <c r="N412">
        <v>159186</v>
      </c>
      <c r="O412">
        <v>2</v>
      </c>
      <c r="P412">
        <v>1</v>
      </c>
      <c r="Q412">
        <v>19</v>
      </c>
      <c r="R412">
        <v>29</v>
      </c>
      <c r="S412">
        <v>1</v>
      </c>
      <c r="T412">
        <v>4</v>
      </c>
      <c r="U412">
        <v>4</v>
      </c>
      <c r="V412">
        <v>1</v>
      </c>
      <c r="W412">
        <v>1</v>
      </c>
    </row>
    <row r="413" spans="1:23" x14ac:dyDescent="0.25">
      <c r="A413" s="1" t="s">
        <v>23</v>
      </c>
      <c r="B413" s="1" t="s">
        <v>44</v>
      </c>
      <c r="C413" s="1" t="s">
        <v>34</v>
      </c>
      <c r="D413" s="1" t="s">
        <v>26</v>
      </c>
      <c r="E413" s="1" t="s">
        <v>46</v>
      </c>
      <c r="F413" s="1" t="s">
        <v>68</v>
      </c>
      <c r="G413" s="1" t="s">
        <v>471</v>
      </c>
      <c r="H413">
        <v>412</v>
      </c>
      <c r="I413" s="1" t="s">
        <v>36</v>
      </c>
      <c r="J413" s="1" t="s">
        <v>64</v>
      </c>
      <c r="K413" s="1" t="s">
        <v>38</v>
      </c>
      <c r="L413" s="1" t="s">
        <v>33</v>
      </c>
      <c r="M413">
        <v>33</v>
      </c>
      <c r="N413">
        <v>95288</v>
      </c>
      <c r="O413">
        <v>4</v>
      </c>
      <c r="P413">
        <v>1</v>
      </c>
      <c r="Q413">
        <v>21</v>
      </c>
      <c r="R413">
        <v>0</v>
      </c>
      <c r="S413">
        <v>0</v>
      </c>
      <c r="T413">
        <v>4</v>
      </c>
      <c r="U413">
        <v>4</v>
      </c>
      <c r="V413">
        <v>28</v>
      </c>
      <c r="W413">
        <v>4</v>
      </c>
    </row>
    <row r="414" spans="1:23" x14ac:dyDescent="0.25">
      <c r="A414" s="1" t="s">
        <v>23</v>
      </c>
      <c r="B414" s="1" t="s">
        <v>44</v>
      </c>
      <c r="C414" s="1" t="s">
        <v>39</v>
      </c>
      <c r="D414" s="1" t="s">
        <v>26</v>
      </c>
      <c r="E414" s="1" t="s">
        <v>51</v>
      </c>
      <c r="F414" s="1" t="s">
        <v>66</v>
      </c>
      <c r="G414" s="1" t="s">
        <v>472</v>
      </c>
      <c r="H414">
        <v>413</v>
      </c>
      <c r="I414" s="1" t="s">
        <v>36</v>
      </c>
      <c r="J414" s="1" t="s">
        <v>41</v>
      </c>
      <c r="K414" s="1" t="s">
        <v>38</v>
      </c>
      <c r="L414" s="1" t="s">
        <v>23</v>
      </c>
      <c r="M414">
        <v>35</v>
      </c>
      <c r="N414">
        <v>33913</v>
      </c>
      <c r="O414">
        <v>1</v>
      </c>
      <c r="P414">
        <v>4</v>
      </c>
      <c r="Q414">
        <v>36</v>
      </c>
      <c r="R414">
        <v>20</v>
      </c>
      <c r="S414">
        <v>4</v>
      </c>
      <c r="T414">
        <v>1</v>
      </c>
      <c r="U414">
        <v>4</v>
      </c>
      <c r="V414">
        <v>29</v>
      </c>
      <c r="W414">
        <v>4</v>
      </c>
    </row>
    <row r="415" spans="1:23" x14ac:dyDescent="0.25">
      <c r="A415" s="1" t="s">
        <v>33</v>
      </c>
      <c r="B415" s="1" t="s">
        <v>54</v>
      </c>
      <c r="C415" s="1" t="s">
        <v>34</v>
      </c>
      <c r="D415" s="1" t="s">
        <v>73</v>
      </c>
      <c r="E415" s="1" t="s">
        <v>51</v>
      </c>
      <c r="F415" s="1" t="s">
        <v>46</v>
      </c>
      <c r="G415" s="1" t="s">
        <v>473</v>
      </c>
      <c r="H415">
        <v>414</v>
      </c>
      <c r="I415" s="1" t="s">
        <v>36</v>
      </c>
      <c r="J415" s="1" t="s">
        <v>41</v>
      </c>
      <c r="K415" s="1" t="s">
        <v>50</v>
      </c>
      <c r="L415" s="1" t="s">
        <v>33</v>
      </c>
      <c r="M415">
        <v>39</v>
      </c>
      <c r="N415">
        <v>68384</v>
      </c>
      <c r="O415">
        <v>4</v>
      </c>
      <c r="P415">
        <v>3</v>
      </c>
      <c r="Q415">
        <v>28</v>
      </c>
      <c r="R415">
        <v>14</v>
      </c>
      <c r="S415">
        <v>4</v>
      </c>
      <c r="T415">
        <v>2</v>
      </c>
      <c r="U415">
        <v>4</v>
      </c>
      <c r="V415">
        <v>30</v>
      </c>
      <c r="W415">
        <v>5</v>
      </c>
    </row>
    <row r="416" spans="1:23" x14ac:dyDescent="0.25">
      <c r="A416" s="1" t="s">
        <v>33</v>
      </c>
      <c r="B416" s="1" t="s">
        <v>24</v>
      </c>
      <c r="C416" s="1" t="s">
        <v>39</v>
      </c>
      <c r="D416" s="1" t="s">
        <v>73</v>
      </c>
      <c r="E416" s="1" t="s">
        <v>40</v>
      </c>
      <c r="F416" s="1" t="s">
        <v>46</v>
      </c>
      <c r="G416" s="1" t="s">
        <v>474</v>
      </c>
      <c r="H416">
        <v>415</v>
      </c>
      <c r="I416" s="1" t="s">
        <v>36</v>
      </c>
      <c r="J416" s="1" t="s">
        <v>41</v>
      </c>
      <c r="K416" s="1" t="s">
        <v>32</v>
      </c>
      <c r="L416" s="1" t="s">
        <v>23</v>
      </c>
      <c r="M416">
        <v>51</v>
      </c>
      <c r="N416">
        <v>60474</v>
      </c>
      <c r="O416">
        <v>2</v>
      </c>
      <c r="P416">
        <v>3</v>
      </c>
      <c r="Q416">
        <v>5</v>
      </c>
      <c r="R416">
        <v>42</v>
      </c>
      <c r="S416">
        <v>3</v>
      </c>
      <c r="T416">
        <v>2</v>
      </c>
      <c r="U416">
        <v>3</v>
      </c>
      <c r="V416">
        <v>7</v>
      </c>
      <c r="W416">
        <v>2</v>
      </c>
    </row>
    <row r="417" spans="1:23" x14ac:dyDescent="0.25">
      <c r="A417" s="1" t="s">
        <v>23</v>
      </c>
      <c r="B417" s="1" t="s">
        <v>44</v>
      </c>
      <c r="C417" s="1" t="s">
        <v>34</v>
      </c>
      <c r="D417" s="1" t="s">
        <v>26</v>
      </c>
      <c r="E417" s="1" t="s">
        <v>40</v>
      </c>
      <c r="F417" s="1" t="s">
        <v>46</v>
      </c>
      <c r="G417" s="1" t="s">
        <v>475</v>
      </c>
      <c r="H417">
        <v>416</v>
      </c>
      <c r="I417" s="1" t="s">
        <v>30</v>
      </c>
      <c r="J417" s="1" t="s">
        <v>48</v>
      </c>
      <c r="K417" s="1" t="s">
        <v>32</v>
      </c>
      <c r="L417" s="1" t="s">
        <v>33</v>
      </c>
      <c r="M417">
        <v>22</v>
      </c>
      <c r="N417">
        <v>112053</v>
      </c>
      <c r="O417">
        <v>3</v>
      </c>
      <c r="P417">
        <v>3</v>
      </c>
      <c r="Q417">
        <v>10</v>
      </c>
      <c r="R417">
        <v>11</v>
      </c>
      <c r="S417">
        <v>6</v>
      </c>
      <c r="T417">
        <v>1</v>
      </c>
      <c r="U417">
        <v>3</v>
      </c>
      <c r="V417">
        <v>11</v>
      </c>
      <c r="W417">
        <v>4</v>
      </c>
    </row>
    <row r="418" spans="1:23" x14ac:dyDescent="0.25">
      <c r="A418" s="1" t="s">
        <v>23</v>
      </c>
      <c r="B418" s="1" t="s">
        <v>24</v>
      </c>
      <c r="C418" s="1" t="s">
        <v>34</v>
      </c>
      <c r="D418" s="1" t="s">
        <v>26</v>
      </c>
      <c r="E418" s="1" t="s">
        <v>51</v>
      </c>
      <c r="F418" s="1" t="s">
        <v>68</v>
      </c>
      <c r="G418" s="1" t="s">
        <v>476</v>
      </c>
      <c r="H418">
        <v>417</v>
      </c>
      <c r="I418" s="1" t="s">
        <v>36</v>
      </c>
      <c r="J418" s="1" t="s">
        <v>37</v>
      </c>
      <c r="K418" s="1" t="s">
        <v>38</v>
      </c>
      <c r="L418" s="1" t="s">
        <v>33</v>
      </c>
      <c r="M418">
        <v>56</v>
      </c>
      <c r="N418">
        <v>88121</v>
      </c>
      <c r="O418">
        <v>2</v>
      </c>
      <c r="P418">
        <v>1</v>
      </c>
      <c r="Q418">
        <v>3</v>
      </c>
      <c r="R418">
        <v>28</v>
      </c>
      <c r="S418">
        <v>6</v>
      </c>
      <c r="T418">
        <v>4</v>
      </c>
      <c r="U418">
        <v>3</v>
      </c>
      <c r="V418">
        <v>4</v>
      </c>
      <c r="W418">
        <v>5</v>
      </c>
    </row>
    <row r="419" spans="1:23" x14ac:dyDescent="0.25">
      <c r="A419" s="1" t="s">
        <v>23</v>
      </c>
      <c r="B419" s="1" t="s">
        <v>54</v>
      </c>
      <c r="C419" s="1" t="s">
        <v>65</v>
      </c>
      <c r="D419" s="1" t="s">
        <v>26</v>
      </c>
      <c r="E419" s="1" t="s">
        <v>60</v>
      </c>
      <c r="F419" s="1" t="s">
        <v>66</v>
      </c>
      <c r="G419" s="1" t="s">
        <v>477</v>
      </c>
      <c r="H419">
        <v>418</v>
      </c>
      <c r="I419" s="1" t="s">
        <v>30</v>
      </c>
      <c r="J419" s="1" t="s">
        <v>70</v>
      </c>
      <c r="K419" s="1" t="s">
        <v>32</v>
      </c>
      <c r="L419" s="1" t="s">
        <v>33</v>
      </c>
      <c r="M419">
        <v>34</v>
      </c>
      <c r="N419">
        <v>112801</v>
      </c>
      <c r="O419">
        <v>2</v>
      </c>
      <c r="P419">
        <v>3</v>
      </c>
      <c r="Q419">
        <v>28</v>
      </c>
      <c r="R419">
        <v>32</v>
      </c>
      <c r="S419">
        <v>3</v>
      </c>
      <c r="T419">
        <v>1</v>
      </c>
      <c r="U419">
        <v>3</v>
      </c>
      <c r="V419">
        <v>21</v>
      </c>
      <c r="W419">
        <v>3</v>
      </c>
    </row>
    <row r="420" spans="1:23" x14ac:dyDescent="0.25">
      <c r="A420" s="1" t="s">
        <v>23</v>
      </c>
      <c r="B420" s="1" t="s">
        <v>44</v>
      </c>
      <c r="C420" s="1" t="s">
        <v>34</v>
      </c>
      <c r="D420" s="1" t="s">
        <v>26</v>
      </c>
      <c r="E420" s="1" t="s">
        <v>55</v>
      </c>
      <c r="F420" s="1" t="s">
        <v>68</v>
      </c>
      <c r="G420" s="1" t="s">
        <v>478</v>
      </c>
      <c r="H420">
        <v>419</v>
      </c>
      <c r="I420" s="1" t="s">
        <v>30</v>
      </c>
      <c r="J420" s="1" t="s">
        <v>48</v>
      </c>
      <c r="K420" s="1" t="s">
        <v>38</v>
      </c>
      <c r="L420" s="1" t="s">
        <v>23</v>
      </c>
      <c r="M420">
        <v>39</v>
      </c>
      <c r="N420">
        <v>150388</v>
      </c>
      <c r="O420">
        <v>2</v>
      </c>
      <c r="P420">
        <v>1</v>
      </c>
      <c r="Q420">
        <v>17</v>
      </c>
      <c r="R420">
        <v>23</v>
      </c>
      <c r="S420">
        <v>5</v>
      </c>
      <c r="T420">
        <v>4</v>
      </c>
      <c r="U420">
        <v>4</v>
      </c>
      <c r="V420">
        <v>21</v>
      </c>
      <c r="W420">
        <v>2</v>
      </c>
    </row>
    <row r="421" spans="1:23" x14ac:dyDescent="0.25">
      <c r="A421" s="1" t="s">
        <v>23</v>
      </c>
      <c r="B421" s="1" t="s">
        <v>24</v>
      </c>
      <c r="C421" s="1" t="s">
        <v>65</v>
      </c>
      <c r="D421" s="1" t="s">
        <v>26</v>
      </c>
      <c r="E421" s="1" t="s">
        <v>40</v>
      </c>
      <c r="F421" s="1" t="s">
        <v>28</v>
      </c>
      <c r="G421" s="1" t="s">
        <v>479</v>
      </c>
      <c r="H421">
        <v>420</v>
      </c>
      <c r="I421" s="1" t="s">
        <v>36</v>
      </c>
      <c r="J421" s="1" t="s">
        <v>41</v>
      </c>
      <c r="K421" s="1" t="s">
        <v>38</v>
      </c>
      <c r="L421" s="1" t="s">
        <v>23</v>
      </c>
      <c r="M421">
        <v>54</v>
      </c>
      <c r="N421">
        <v>112836</v>
      </c>
      <c r="O421">
        <v>1</v>
      </c>
      <c r="P421">
        <v>4</v>
      </c>
      <c r="Q421">
        <v>9</v>
      </c>
      <c r="R421">
        <v>0</v>
      </c>
      <c r="S421">
        <v>5</v>
      </c>
      <c r="T421">
        <v>1</v>
      </c>
      <c r="U421">
        <v>3</v>
      </c>
      <c r="V421">
        <v>11</v>
      </c>
      <c r="W421">
        <v>3</v>
      </c>
    </row>
    <row r="422" spans="1:23" x14ac:dyDescent="0.25">
      <c r="A422" s="1" t="s">
        <v>23</v>
      </c>
      <c r="B422" s="1" t="s">
        <v>24</v>
      </c>
      <c r="C422" s="1" t="s">
        <v>65</v>
      </c>
      <c r="D422" s="1" t="s">
        <v>26</v>
      </c>
      <c r="E422" s="1" t="s">
        <v>40</v>
      </c>
      <c r="F422" s="1" t="s">
        <v>68</v>
      </c>
      <c r="G422" s="1" t="s">
        <v>480</v>
      </c>
      <c r="H422">
        <v>421</v>
      </c>
      <c r="I422" s="1" t="s">
        <v>30</v>
      </c>
      <c r="J422" s="1" t="s">
        <v>70</v>
      </c>
      <c r="K422" s="1" t="s">
        <v>32</v>
      </c>
      <c r="L422" s="1" t="s">
        <v>33</v>
      </c>
      <c r="M422">
        <v>54</v>
      </c>
      <c r="N422">
        <v>95522</v>
      </c>
      <c r="O422">
        <v>4</v>
      </c>
      <c r="P422">
        <v>4</v>
      </c>
      <c r="Q422">
        <v>35</v>
      </c>
      <c r="R422">
        <v>19</v>
      </c>
      <c r="S422">
        <v>5</v>
      </c>
      <c r="T422">
        <v>3</v>
      </c>
      <c r="U422">
        <v>4</v>
      </c>
      <c r="V422">
        <v>1</v>
      </c>
      <c r="W422">
        <v>3</v>
      </c>
    </row>
    <row r="423" spans="1:23" x14ac:dyDescent="0.25">
      <c r="A423" s="1" t="s">
        <v>33</v>
      </c>
      <c r="B423" s="1" t="s">
        <v>54</v>
      </c>
      <c r="C423" s="1" t="s">
        <v>39</v>
      </c>
      <c r="D423" s="1" t="s">
        <v>73</v>
      </c>
      <c r="E423" s="1" t="s">
        <v>55</v>
      </c>
      <c r="F423" s="1" t="s">
        <v>68</v>
      </c>
      <c r="G423" s="1" t="s">
        <v>481</v>
      </c>
      <c r="H423">
        <v>422</v>
      </c>
      <c r="I423" s="1" t="s">
        <v>36</v>
      </c>
      <c r="J423" s="1" t="s">
        <v>48</v>
      </c>
      <c r="K423" s="1" t="s">
        <v>32</v>
      </c>
      <c r="L423" s="1" t="s">
        <v>23</v>
      </c>
      <c r="M423">
        <v>43</v>
      </c>
      <c r="N423">
        <v>124038</v>
      </c>
      <c r="O423">
        <v>2</v>
      </c>
      <c r="P423">
        <v>3</v>
      </c>
      <c r="Q423">
        <v>5</v>
      </c>
      <c r="R423">
        <v>2</v>
      </c>
      <c r="S423">
        <v>4</v>
      </c>
      <c r="T423">
        <v>3</v>
      </c>
      <c r="U423">
        <v>4</v>
      </c>
      <c r="V423">
        <v>24</v>
      </c>
      <c r="W423">
        <v>2</v>
      </c>
    </row>
    <row r="424" spans="1:23" x14ac:dyDescent="0.25">
      <c r="A424" s="1" t="s">
        <v>23</v>
      </c>
      <c r="B424" s="1" t="s">
        <v>24</v>
      </c>
      <c r="C424" s="1" t="s">
        <v>39</v>
      </c>
      <c r="D424" s="1" t="s">
        <v>26</v>
      </c>
      <c r="E424" s="1" t="s">
        <v>55</v>
      </c>
      <c r="F424" s="1" t="s">
        <v>41</v>
      </c>
      <c r="G424" s="1" t="s">
        <v>482</v>
      </c>
      <c r="H424">
        <v>423</v>
      </c>
      <c r="I424" s="1" t="s">
        <v>36</v>
      </c>
      <c r="J424" s="1" t="s">
        <v>59</v>
      </c>
      <c r="K424" s="1" t="s">
        <v>38</v>
      </c>
      <c r="L424" s="1" t="s">
        <v>33</v>
      </c>
      <c r="M424">
        <v>22</v>
      </c>
      <c r="N424">
        <v>25311</v>
      </c>
      <c r="O424">
        <v>3</v>
      </c>
      <c r="P424">
        <v>2</v>
      </c>
      <c r="Q424">
        <v>19</v>
      </c>
      <c r="R424">
        <v>27</v>
      </c>
      <c r="S424">
        <v>4</v>
      </c>
      <c r="T424">
        <v>1</v>
      </c>
      <c r="U424">
        <v>3</v>
      </c>
      <c r="V424">
        <v>27</v>
      </c>
      <c r="W424">
        <v>3</v>
      </c>
    </row>
    <row r="425" spans="1:23" x14ac:dyDescent="0.25">
      <c r="A425" s="1" t="s">
        <v>23</v>
      </c>
      <c r="B425" s="1" t="s">
        <v>24</v>
      </c>
      <c r="C425" s="1" t="s">
        <v>39</v>
      </c>
      <c r="D425" s="1" t="s">
        <v>26</v>
      </c>
      <c r="E425" s="1" t="s">
        <v>60</v>
      </c>
      <c r="F425" s="1" t="s">
        <v>52</v>
      </c>
      <c r="G425" s="1" t="s">
        <v>483</v>
      </c>
      <c r="H425">
        <v>424</v>
      </c>
      <c r="I425" s="1" t="s">
        <v>30</v>
      </c>
      <c r="J425" s="1" t="s">
        <v>86</v>
      </c>
      <c r="K425" s="1" t="s">
        <v>38</v>
      </c>
      <c r="L425" s="1" t="s">
        <v>33</v>
      </c>
      <c r="M425">
        <v>50</v>
      </c>
      <c r="N425">
        <v>106861</v>
      </c>
      <c r="O425">
        <v>2</v>
      </c>
      <c r="P425">
        <v>2</v>
      </c>
      <c r="Q425">
        <v>22</v>
      </c>
      <c r="R425">
        <v>19</v>
      </c>
      <c r="S425">
        <v>2</v>
      </c>
      <c r="T425">
        <v>2</v>
      </c>
      <c r="U425">
        <v>4</v>
      </c>
      <c r="V425">
        <v>17</v>
      </c>
      <c r="W425">
        <v>2</v>
      </c>
    </row>
    <row r="426" spans="1:23" x14ac:dyDescent="0.25">
      <c r="A426" s="1" t="s">
        <v>23</v>
      </c>
      <c r="B426" s="1" t="s">
        <v>44</v>
      </c>
      <c r="C426" s="1" t="s">
        <v>39</v>
      </c>
      <c r="D426" s="1" t="s">
        <v>26</v>
      </c>
      <c r="E426" s="1" t="s">
        <v>55</v>
      </c>
      <c r="F426" s="1" t="s">
        <v>68</v>
      </c>
      <c r="G426" s="1" t="s">
        <v>484</v>
      </c>
      <c r="H426">
        <v>425</v>
      </c>
      <c r="I426" s="1" t="s">
        <v>30</v>
      </c>
      <c r="J426" s="1" t="s">
        <v>70</v>
      </c>
      <c r="K426" s="1" t="s">
        <v>32</v>
      </c>
      <c r="L426" s="1" t="s">
        <v>23</v>
      </c>
      <c r="M426">
        <v>47</v>
      </c>
      <c r="N426">
        <v>39481</v>
      </c>
      <c r="O426">
        <v>1</v>
      </c>
      <c r="P426">
        <v>1</v>
      </c>
      <c r="Q426">
        <v>27</v>
      </c>
      <c r="R426">
        <v>8</v>
      </c>
      <c r="S426">
        <v>3</v>
      </c>
      <c r="T426">
        <v>2</v>
      </c>
      <c r="U426">
        <v>4</v>
      </c>
      <c r="V426">
        <v>3</v>
      </c>
      <c r="W426">
        <v>3</v>
      </c>
    </row>
    <row r="427" spans="1:23" x14ac:dyDescent="0.25">
      <c r="A427" s="1" t="s">
        <v>23</v>
      </c>
      <c r="B427" s="1" t="s">
        <v>54</v>
      </c>
      <c r="C427" s="1" t="s">
        <v>34</v>
      </c>
      <c r="D427" s="1" t="s">
        <v>26</v>
      </c>
      <c r="E427" s="1" t="s">
        <v>51</v>
      </c>
      <c r="F427" s="1" t="s">
        <v>68</v>
      </c>
      <c r="G427" s="1" t="s">
        <v>485</v>
      </c>
      <c r="H427">
        <v>426</v>
      </c>
      <c r="I427" s="1" t="s">
        <v>36</v>
      </c>
      <c r="J427" s="1" t="s">
        <v>43</v>
      </c>
      <c r="K427" s="1" t="s">
        <v>38</v>
      </c>
      <c r="L427" s="1" t="s">
        <v>23</v>
      </c>
      <c r="M427">
        <v>49</v>
      </c>
      <c r="N427">
        <v>146330</v>
      </c>
      <c r="O427">
        <v>4</v>
      </c>
      <c r="P427">
        <v>2</v>
      </c>
      <c r="Q427">
        <v>9</v>
      </c>
      <c r="R427">
        <v>32</v>
      </c>
      <c r="S427">
        <v>1</v>
      </c>
      <c r="T427">
        <v>4</v>
      </c>
      <c r="U427">
        <v>4</v>
      </c>
      <c r="V427">
        <v>5</v>
      </c>
      <c r="W427">
        <v>5</v>
      </c>
    </row>
    <row r="428" spans="1:23" x14ac:dyDescent="0.25">
      <c r="A428" s="1" t="s">
        <v>33</v>
      </c>
      <c r="B428" s="1" t="s">
        <v>44</v>
      </c>
      <c r="C428" s="1" t="s">
        <v>34</v>
      </c>
      <c r="D428" s="1" t="s">
        <v>73</v>
      </c>
      <c r="E428" s="1" t="s">
        <v>55</v>
      </c>
      <c r="F428" s="1" t="s">
        <v>68</v>
      </c>
      <c r="G428" s="1" t="s">
        <v>486</v>
      </c>
      <c r="H428">
        <v>427</v>
      </c>
      <c r="I428" s="1" t="s">
        <v>30</v>
      </c>
      <c r="J428" s="1" t="s">
        <v>70</v>
      </c>
      <c r="K428" s="1" t="s">
        <v>32</v>
      </c>
      <c r="L428" s="1" t="s">
        <v>23</v>
      </c>
      <c r="M428">
        <v>28</v>
      </c>
      <c r="N428">
        <v>175705</v>
      </c>
      <c r="O428">
        <v>4</v>
      </c>
      <c r="P428">
        <v>1</v>
      </c>
      <c r="Q428">
        <v>7</v>
      </c>
      <c r="R428">
        <v>23</v>
      </c>
      <c r="S428">
        <v>4</v>
      </c>
      <c r="T428">
        <v>3</v>
      </c>
      <c r="U428">
        <v>3</v>
      </c>
      <c r="V428">
        <v>17</v>
      </c>
      <c r="W428">
        <v>2</v>
      </c>
    </row>
    <row r="429" spans="1:23" x14ac:dyDescent="0.25">
      <c r="A429" s="1" t="s">
        <v>23</v>
      </c>
      <c r="B429" s="1" t="s">
        <v>44</v>
      </c>
      <c r="C429" s="1" t="s">
        <v>34</v>
      </c>
      <c r="D429" s="1" t="s">
        <v>26</v>
      </c>
      <c r="E429" s="1" t="s">
        <v>27</v>
      </c>
      <c r="F429" s="1" t="s">
        <v>46</v>
      </c>
      <c r="G429" s="1" t="s">
        <v>487</v>
      </c>
      <c r="H429">
        <v>428</v>
      </c>
      <c r="I429" s="1" t="s">
        <v>36</v>
      </c>
      <c r="J429" s="1" t="s">
        <v>64</v>
      </c>
      <c r="K429" s="1" t="s">
        <v>50</v>
      </c>
      <c r="L429" s="1" t="s">
        <v>33</v>
      </c>
      <c r="M429">
        <v>58</v>
      </c>
      <c r="N429">
        <v>128561</v>
      </c>
      <c r="O429">
        <v>1</v>
      </c>
      <c r="P429">
        <v>3</v>
      </c>
      <c r="Q429">
        <v>18</v>
      </c>
      <c r="R429">
        <v>13</v>
      </c>
      <c r="S429">
        <v>1</v>
      </c>
      <c r="T429">
        <v>4</v>
      </c>
      <c r="U429">
        <v>3</v>
      </c>
      <c r="V429">
        <v>4</v>
      </c>
      <c r="W429">
        <v>5</v>
      </c>
    </row>
    <row r="430" spans="1:23" x14ac:dyDescent="0.25">
      <c r="A430" s="1" t="s">
        <v>23</v>
      </c>
      <c r="B430" s="1" t="s">
        <v>44</v>
      </c>
      <c r="C430" s="1" t="s">
        <v>65</v>
      </c>
      <c r="D430" s="1" t="s">
        <v>26</v>
      </c>
      <c r="E430" s="1" t="s">
        <v>40</v>
      </c>
      <c r="F430" s="1" t="s">
        <v>41</v>
      </c>
      <c r="G430" s="1" t="s">
        <v>488</v>
      </c>
      <c r="H430">
        <v>429</v>
      </c>
      <c r="I430" s="1" t="s">
        <v>36</v>
      </c>
      <c r="J430" s="1" t="s">
        <v>43</v>
      </c>
      <c r="K430" s="1" t="s">
        <v>38</v>
      </c>
      <c r="L430" s="1" t="s">
        <v>23</v>
      </c>
      <c r="M430">
        <v>45</v>
      </c>
      <c r="N430">
        <v>142578</v>
      </c>
      <c r="O430">
        <v>2</v>
      </c>
      <c r="P430">
        <v>2</v>
      </c>
      <c r="Q430">
        <v>32</v>
      </c>
      <c r="R430">
        <v>40</v>
      </c>
      <c r="S430">
        <v>3</v>
      </c>
      <c r="T430">
        <v>4</v>
      </c>
      <c r="U430">
        <v>4</v>
      </c>
      <c r="V430">
        <v>5</v>
      </c>
      <c r="W430">
        <v>3</v>
      </c>
    </row>
    <row r="431" spans="1:23" x14ac:dyDescent="0.25">
      <c r="A431" s="1" t="s">
        <v>23</v>
      </c>
      <c r="B431" s="1" t="s">
        <v>44</v>
      </c>
      <c r="C431" s="1" t="s">
        <v>39</v>
      </c>
      <c r="D431" s="1" t="s">
        <v>26</v>
      </c>
      <c r="E431" s="1" t="s">
        <v>51</v>
      </c>
      <c r="F431" s="1" t="s">
        <v>68</v>
      </c>
      <c r="G431" s="1" t="s">
        <v>489</v>
      </c>
      <c r="H431">
        <v>430</v>
      </c>
      <c r="I431" s="1" t="s">
        <v>30</v>
      </c>
      <c r="J431" s="1" t="s">
        <v>41</v>
      </c>
      <c r="K431" s="1" t="s">
        <v>38</v>
      </c>
      <c r="L431" s="1" t="s">
        <v>33</v>
      </c>
      <c r="M431">
        <v>49</v>
      </c>
      <c r="N431">
        <v>90712</v>
      </c>
      <c r="O431">
        <v>1</v>
      </c>
      <c r="P431">
        <v>2</v>
      </c>
      <c r="Q431">
        <v>1</v>
      </c>
      <c r="R431">
        <v>36</v>
      </c>
      <c r="S431">
        <v>5</v>
      </c>
      <c r="T431">
        <v>3</v>
      </c>
      <c r="U431">
        <v>3</v>
      </c>
      <c r="V431">
        <v>21</v>
      </c>
      <c r="W431">
        <v>5</v>
      </c>
    </row>
    <row r="432" spans="1:23" x14ac:dyDescent="0.25">
      <c r="A432" s="1" t="s">
        <v>23</v>
      </c>
      <c r="B432" s="1" t="s">
        <v>54</v>
      </c>
      <c r="C432" s="1" t="s">
        <v>57</v>
      </c>
      <c r="D432" s="1" t="s">
        <v>26</v>
      </c>
      <c r="E432" s="1" t="s">
        <v>51</v>
      </c>
      <c r="F432" s="1" t="s">
        <v>66</v>
      </c>
      <c r="G432" s="1" t="s">
        <v>490</v>
      </c>
      <c r="H432">
        <v>431</v>
      </c>
      <c r="I432" s="1" t="s">
        <v>30</v>
      </c>
      <c r="J432" s="1" t="s">
        <v>86</v>
      </c>
      <c r="K432" s="1" t="s">
        <v>32</v>
      </c>
      <c r="L432" s="1" t="s">
        <v>33</v>
      </c>
      <c r="M432">
        <v>28</v>
      </c>
      <c r="N432">
        <v>157423</v>
      </c>
      <c r="O432">
        <v>2</v>
      </c>
      <c r="P432">
        <v>1</v>
      </c>
      <c r="Q432">
        <v>17</v>
      </c>
      <c r="R432">
        <v>13</v>
      </c>
      <c r="S432">
        <v>1</v>
      </c>
      <c r="T432">
        <v>4</v>
      </c>
      <c r="U432">
        <v>3</v>
      </c>
      <c r="V432">
        <v>26</v>
      </c>
      <c r="W432">
        <v>5</v>
      </c>
    </row>
    <row r="433" spans="1:23" x14ac:dyDescent="0.25">
      <c r="A433" s="1" t="s">
        <v>23</v>
      </c>
      <c r="B433" s="1" t="s">
        <v>44</v>
      </c>
      <c r="C433" s="1" t="s">
        <v>34</v>
      </c>
      <c r="D433" s="1" t="s">
        <v>26</v>
      </c>
      <c r="E433" s="1" t="s">
        <v>60</v>
      </c>
      <c r="F433" s="1" t="s">
        <v>66</v>
      </c>
      <c r="G433" s="1" t="s">
        <v>491</v>
      </c>
      <c r="H433">
        <v>432</v>
      </c>
      <c r="I433" s="1" t="s">
        <v>36</v>
      </c>
      <c r="J433" s="1" t="s">
        <v>41</v>
      </c>
      <c r="K433" s="1" t="s">
        <v>50</v>
      </c>
      <c r="L433" s="1" t="s">
        <v>23</v>
      </c>
      <c r="M433">
        <v>22</v>
      </c>
      <c r="N433">
        <v>156386</v>
      </c>
      <c r="O433">
        <v>3</v>
      </c>
      <c r="P433">
        <v>4</v>
      </c>
      <c r="Q433">
        <v>16</v>
      </c>
      <c r="R433">
        <v>5</v>
      </c>
      <c r="S433">
        <v>0</v>
      </c>
      <c r="T433">
        <v>1</v>
      </c>
      <c r="U433">
        <v>3</v>
      </c>
      <c r="V433">
        <v>10</v>
      </c>
      <c r="W433">
        <v>2</v>
      </c>
    </row>
    <row r="434" spans="1:23" x14ac:dyDescent="0.25">
      <c r="A434" s="1" t="s">
        <v>23</v>
      </c>
      <c r="B434" s="1" t="s">
        <v>44</v>
      </c>
      <c r="C434" s="1" t="s">
        <v>65</v>
      </c>
      <c r="D434" s="1" t="s">
        <v>26</v>
      </c>
      <c r="E434" s="1" t="s">
        <v>55</v>
      </c>
      <c r="F434" s="1" t="s">
        <v>68</v>
      </c>
      <c r="G434" s="1" t="s">
        <v>492</v>
      </c>
      <c r="H434">
        <v>433</v>
      </c>
      <c r="I434" s="1" t="s">
        <v>30</v>
      </c>
      <c r="J434" s="1" t="s">
        <v>64</v>
      </c>
      <c r="K434" s="1" t="s">
        <v>32</v>
      </c>
      <c r="L434" s="1" t="s">
        <v>23</v>
      </c>
      <c r="M434">
        <v>32</v>
      </c>
      <c r="N434">
        <v>25122</v>
      </c>
      <c r="O434">
        <v>1</v>
      </c>
      <c r="P434">
        <v>3</v>
      </c>
      <c r="Q434">
        <v>24</v>
      </c>
      <c r="R434">
        <v>6</v>
      </c>
      <c r="S434">
        <v>2</v>
      </c>
      <c r="T434">
        <v>2</v>
      </c>
      <c r="U434">
        <v>4</v>
      </c>
      <c r="V434">
        <v>29</v>
      </c>
      <c r="W434">
        <v>3</v>
      </c>
    </row>
    <row r="435" spans="1:23" x14ac:dyDescent="0.25">
      <c r="A435" s="1" t="s">
        <v>23</v>
      </c>
      <c r="B435" s="1" t="s">
        <v>24</v>
      </c>
      <c r="C435" s="1" t="s">
        <v>65</v>
      </c>
      <c r="D435" s="1" t="s">
        <v>26</v>
      </c>
      <c r="E435" s="1" t="s">
        <v>60</v>
      </c>
      <c r="F435" s="1" t="s">
        <v>28</v>
      </c>
      <c r="G435" s="1" t="s">
        <v>493</v>
      </c>
      <c r="H435">
        <v>434</v>
      </c>
      <c r="I435" s="1" t="s">
        <v>30</v>
      </c>
      <c r="J435" s="1" t="s">
        <v>43</v>
      </c>
      <c r="K435" s="1" t="s">
        <v>32</v>
      </c>
      <c r="L435" s="1" t="s">
        <v>33</v>
      </c>
      <c r="M435">
        <v>52</v>
      </c>
      <c r="N435">
        <v>151332</v>
      </c>
      <c r="O435">
        <v>4</v>
      </c>
      <c r="P435">
        <v>1</v>
      </c>
      <c r="Q435">
        <v>17</v>
      </c>
      <c r="R435">
        <v>3</v>
      </c>
      <c r="S435">
        <v>2</v>
      </c>
      <c r="T435">
        <v>4</v>
      </c>
      <c r="U435">
        <v>4</v>
      </c>
      <c r="V435">
        <v>3</v>
      </c>
      <c r="W435">
        <v>4</v>
      </c>
    </row>
    <row r="436" spans="1:23" x14ac:dyDescent="0.25">
      <c r="A436" s="1" t="s">
        <v>23</v>
      </c>
      <c r="B436" s="1" t="s">
        <v>44</v>
      </c>
      <c r="C436" s="1" t="s">
        <v>39</v>
      </c>
      <c r="D436" s="1" t="s">
        <v>26</v>
      </c>
      <c r="E436" s="1" t="s">
        <v>60</v>
      </c>
      <c r="F436" s="1" t="s">
        <v>41</v>
      </c>
      <c r="G436" s="1" t="s">
        <v>494</v>
      </c>
      <c r="H436">
        <v>435</v>
      </c>
      <c r="I436" s="1" t="s">
        <v>30</v>
      </c>
      <c r="J436" s="1" t="s">
        <v>48</v>
      </c>
      <c r="K436" s="1" t="s">
        <v>32</v>
      </c>
      <c r="L436" s="1" t="s">
        <v>33</v>
      </c>
      <c r="M436">
        <v>40</v>
      </c>
      <c r="N436">
        <v>166962</v>
      </c>
      <c r="O436">
        <v>4</v>
      </c>
      <c r="P436">
        <v>4</v>
      </c>
      <c r="Q436">
        <v>5</v>
      </c>
      <c r="R436">
        <v>40</v>
      </c>
      <c r="S436">
        <v>4</v>
      </c>
      <c r="T436">
        <v>2</v>
      </c>
      <c r="U436">
        <v>3</v>
      </c>
      <c r="V436">
        <v>12</v>
      </c>
      <c r="W436">
        <v>5</v>
      </c>
    </row>
    <row r="437" spans="1:23" x14ac:dyDescent="0.25">
      <c r="A437" s="1" t="s">
        <v>33</v>
      </c>
      <c r="B437" s="1" t="s">
        <v>44</v>
      </c>
      <c r="C437" s="1" t="s">
        <v>65</v>
      </c>
      <c r="D437" s="1" t="s">
        <v>73</v>
      </c>
      <c r="E437" s="1" t="s">
        <v>51</v>
      </c>
      <c r="F437" s="1" t="s">
        <v>41</v>
      </c>
      <c r="G437" s="1" t="s">
        <v>495</v>
      </c>
      <c r="H437">
        <v>436</v>
      </c>
      <c r="I437" s="1" t="s">
        <v>36</v>
      </c>
      <c r="J437" s="1" t="s">
        <v>64</v>
      </c>
      <c r="K437" s="1" t="s">
        <v>50</v>
      </c>
      <c r="L437" s="1" t="s">
        <v>23</v>
      </c>
      <c r="M437">
        <v>60</v>
      </c>
      <c r="N437">
        <v>93825</v>
      </c>
      <c r="O437">
        <v>2</v>
      </c>
      <c r="P437">
        <v>1</v>
      </c>
      <c r="Q437">
        <v>3</v>
      </c>
      <c r="R437">
        <v>30</v>
      </c>
      <c r="S437">
        <v>2</v>
      </c>
      <c r="T437">
        <v>3</v>
      </c>
      <c r="U437">
        <v>4</v>
      </c>
      <c r="V437">
        <v>12</v>
      </c>
      <c r="W437">
        <v>2</v>
      </c>
    </row>
    <row r="438" spans="1:23" x14ac:dyDescent="0.25">
      <c r="A438" s="1" t="s">
        <v>23</v>
      </c>
      <c r="B438" s="1" t="s">
        <v>24</v>
      </c>
      <c r="C438" s="1" t="s">
        <v>39</v>
      </c>
      <c r="D438" s="1" t="s">
        <v>26</v>
      </c>
      <c r="E438" s="1" t="s">
        <v>60</v>
      </c>
      <c r="F438" s="1" t="s">
        <v>52</v>
      </c>
      <c r="G438" s="1" t="s">
        <v>496</v>
      </c>
      <c r="H438">
        <v>437</v>
      </c>
      <c r="I438" s="1" t="s">
        <v>30</v>
      </c>
      <c r="J438" s="1" t="s">
        <v>76</v>
      </c>
      <c r="K438" s="1" t="s">
        <v>50</v>
      </c>
      <c r="L438" s="1" t="s">
        <v>23</v>
      </c>
      <c r="M438">
        <v>28</v>
      </c>
      <c r="N438">
        <v>54608</v>
      </c>
      <c r="O438">
        <v>3</v>
      </c>
      <c r="P438">
        <v>4</v>
      </c>
      <c r="Q438">
        <v>13</v>
      </c>
      <c r="R438">
        <v>39</v>
      </c>
      <c r="S438">
        <v>4</v>
      </c>
      <c r="T438">
        <v>3</v>
      </c>
      <c r="U438">
        <v>4</v>
      </c>
      <c r="V438">
        <v>21</v>
      </c>
      <c r="W438">
        <v>3</v>
      </c>
    </row>
    <row r="439" spans="1:23" x14ac:dyDescent="0.25">
      <c r="A439" s="1" t="s">
        <v>33</v>
      </c>
      <c r="B439" s="1" t="s">
        <v>24</v>
      </c>
      <c r="C439" s="1" t="s">
        <v>39</v>
      </c>
      <c r="D439" s="1" t="s">
        <v>73</v>
      </c>
      <c r="E439" s="1" t="s">
        <v>27</v>
      </c>
      <c r="F439" s="1" t="s">
        <v>52</v>
      </c>
      <c r="G439" s="1" t="s">
        <v>497</v>
      </c>
      <c r="H439">
        <v>438</v>
      </c>
      <c r="I439" s="1" t="s">
        <v>36</v>
      </c>
      <c r="J439" s="1" t="s">
        <v>37</v>
      </c>
      <c r="K439" s="1" t="s">
        <v>50</v>
      </c>
      <c r="L439" s="1" t="s">
        <v>23</v>
      </c>
      <c r="M439">
        <v>59</v>
      </c>
      <c r="N439">
        <v>104103</v>
      </c>
      <c r="O439">
        <v>1</v>
      </c>
      <c r="P439">
        <v>2</v>
      </c>
      <c r="Q439">
        <v>0</v>
      </c>
      <c r="R439">
        <v>38</v>
      </c>
      <c r="S439">
        <v>3</v>
      </c>
      <c r="T439">
        <v>1</v>
      </c>
      <c r="U439">
        <v>3</v>
      </c>
      <c r="V439">
        <v>22</v>
      </c>
      <c r="W439">
        <v>2</v>
      </c>
    </row>
    <row r="440" spans="1:23" x14ac:dyDescent="0.25">
      <c r="A440" s="1" t="s">
        <v>23</v>
      </c>
      <c r="B440" s="1" t="s">
        <v>44</v>
      </c>
      <c r="C440" s="1" t="s">
        <v>65</v>
      </c>
      <c r="D440" s="1" t="s">
        <v>26</v>
      </c>
      <c r="E440" s="1" t="s">
        <v>46</v>
      </c>
      <c r="F440" s="1" t="s">
        <v>68</v>
      </c>
      <c r="G440" s="1" t="s">
        <v>498</v>
      </c>
      <c r="H440">
        <v>439</v>
      </c>
      <c r="I440" s="1" t="s">
        <v>30</v>
      </c>
      <c r="J440" s="1" t="s">
        <v>31</v>
      </c>
      <c r="K440" s="1" t="s">
        <v>32</v>
      </c>
      <c r="L440" s="1" t="s">
        <v>33</v>
      </c>
      <c r="M440">
        <v>49</v>
      </c>
      <c r="N440">
        <v>50352</v>
      </c>
      <c r="O440">
        <v>3</v>
      </c>
      <c r="P440">
        <v>4</v>
      </c>
      <c r="Q440">
        <v>38</v>
      </c>
      <c r="R440">
        <v>22</v>
      </c>
      <c r="S440">
        <v>3</v>
      </c>
      <c r="T440">
        <v>2</v>
      </c>
      <c r="U440">
        <v>3</v>
      </c>
      <c r="V440">
        <v>4</v>
      </c>
      <c r="W440">
        <v>4</v>
      </c>
    </row>
    <row r="441" spans="1:23" x14ac:dyDescent="0.25">
      <c r="A441" s="1" t="s">
        <v>23</v>
      </c>
      <c r="B441" s="1" t="s">
        <v>24</v>
      </c>
      <c r="C441" s="1" t="s">
        <v>34</v>
      </c>
      <c r="D441" s="1" t="s">
        <v>26</v>
      </c>
      <c r="E441" s="1" t="s">
        <v>60</v>
      </c>
      <c r="F441" s="1" t="s">
        <v>52</v>
      </c>
      <c r="G441" s="1" t="s">
        <v>499</v>
      </c>
      <c r="H441">
        <v>440</v>
      </c>
      <c r="I441" s="1" t="s">
        <v>30</v>
      </c>
      <c r="J441" s="1" t="s">
        <v>76</v>
      </c>
      <c r="K441" s="1" t="s">
        <v>32</v>
      </c>
      <c r="L441" s="1" t="s">
        <v>23</v>
      </c>
      <c r="M441">
        <v>33</v>
      </c>
      <c r="N441">
        <v>41584</v>
      </c>
      <c r="O441">
        <v>3</v>
      </c>
      <c r="P441">
        <v>2</v>
      </c>
      <c r="Q441">
        <v>14</v>
      </c>
      <c r="R441">
        <v>31</v>
      </c>
      <c r="S441">
        <v>2</v>
      </c>
      <c r="T441">
        <v>1</v>
      </c>
      <c r="U441">
        <v>4</v>
      </c>
      <c r="V441">
        <v>16</v>
      </c>
      <c r="W441">
        <v>5</v>
      </c>
    </row>
    <row r="442" spans="1:23" x14ac:dyDescent="0.25">
      <c r="A442" s="1" t="s">
        <v>23</v>
      </c>
      <c r="B442" s="1" t="s">
        <v>44</v>
      </c>
      <c r="C442" s="1" t="s">
        <v>34</v>
      </c>
      <c r="D442" s="1" t="s">
        <v>26</v>
      </c>
      <c r="E442" s="1" t="s">
        <v>46</v>
      </c>
      <c r="F442" s="1" t="s">
        <v>66</v>
      </c>
      <c r="G442" s="1" t="s">
        <v>500</v>
      </c>
      <c r="H442">
        <v>441</v>
      </c>
      <c r="I442" s="1" t="s">
        <v>36</v>
      </c>
      <c r="J442" s="1" t="s">
        <v>43</v>
      </c>
      <c r="K442" s="1" t="s">
        <v>32</v>
      </c>
      <c r="L442" s="1" t="s">
        <v>23</v>
      </c>
      <c r="M442">
        <v>31</v>
      </c>
      <c r="N442">
        <v>162647</v>
      </c>
      <c r="O442">
        <v>2</v>
      </c>
      <c r="P442">
        <v>2</v>
      </c>
      <c r="Q442">
        <v>4</v>
      </c>
      <c r="R442">
        <v>37</v>
      </c>
      <c r="S442">
        <v>1</v>
      </c>
      <c r="T442">
        <v>1</v>
      </c>
      <c r="U442">
        <v>3</v>
      </c>
      <c r="V442">
        <v>9</v>
      </c>
      <c r="W442">
        <v>5</v>
      </c>
    </row>
    <row r="443" spans="1:23" x14ac:dyDescent="0.25">
      <c r="A443" s="1" t="s">
        <v>33</v>
      </c>
      <c r="B443" s="1" t="s">
        <v>44</v>
      </c>
      <c r="C443" s="1" t="s">
        <v>65</v>
      </c>
      <c r="D443" s="1" t="s">
        <v>73</v>
      </c>
      <c r="E443" s="1" t="s">
        <v>46</v>
      </c>
      <c r="F443" s="1" t="s">
        <v>28</v>
      </c>
      <c r="G443" s="1" t="s">
        <v>501</v>
      </c>
      <c r="H443">
        <v>442</v>
      </c>
      <c r="I443" s="1" t="s">
        <v>30</v>
      </c>
      <c r="J443" s="1" t="s">
        <v>59</v>
      </c>
      <c r="K443" s="1" t="s">
        <v>32</v>
      </c>
      <c r="L443" s="1" t="s">
        <v>23</v>
      </c>
      <c r="M443">
        <v>56</v>
      </c>
      <c r="N443">
        <v>136994</v>
      </c>
      <c r="O443">
        <v>1</v>
      </c>
      <c r="P443">
        <v>4</v>
      </c>
      <c r="Q443">
        <v>3</v>
      </c>
      <c r="R443">
        <v>20</v>
      </c>
      <c r="S443">
        <v>3</v>
      </c>
      <c r="T443">
        <v>4</v>
      </c>
      <c r="U443">
        <v>4</v>
      </c>
      <c r="V443">
        <v>4</v>
      </c>
      <c r="W443">
        <v>5</v>
      </c>
    </row>
    <row r="444" spans="1:23" x14ac:dyDescent="0.25">
      <c r="A444" s="1" t="s">
        <v>23</v>
      </c>
      <c r="B444" s="1" t="s">
        <v>54</v>
      </c>
      <c r="C444" s="1" t="s">
        <v>34</v>
      </c>
      <c r="D444" s="1" t="s">
        <v>26</v>
      </c>
      <c r="E444" s="1" t="s">
        <v>60</v>
      </c>
      <c r="F444" s="1" t="s">
        <v>28</v>
      </c>
      <c r="G444" s="1" t="s">
        <v>502</v>
      </c>
      <c r="H444">
        <v>443</v>
      </c>
      <c r="I444" s="1" t="s">
        <v>30</v>
      </c>
      <c r="J444" s="1" t="s">
        <v>76</v>
      </c>
      <c r="K444" s="1" t="s">
        <v>38</v>
      </c>
      <c r="L444" s="1" t="s">
        <v>23</v>
      </c>
      <c r="M444">
        <v>41</v>
      </c>
      <c r="N444">
        <v>19352</v>
      </c>
      <c r="O444">
        <v>4</v>
      </c>
      <c r="P444">
        <v>2</v>
      </c>
      <c r="Q444">
        <v>21</v>
      </c>
      <c r="R444">
        <v>5</v>
      </c>
      <c r="S444">
        <v>4</v>
      </c>
      <c r="T444">
        <v>1</v>
      </c>
      <c r="U444">
        <v>3</v>
      </c>
      <c r="V444">
        <v>23</v>
      </c>
      <c r="W444">
        <v>4</v>
      </c>
    </row>
    <row r="445" spans="1:23" x14ac:dyDescent="0.25">
      <c r="A445" s="1" t="s">
        <v>33</v>
      </c>
      <c r="B445" s="1" t="s">
        <v>24</v>
      </c>
      <c r="C445" s="1" t="s">
        <v>65</v>
      </c>
      <c r="D445" s="1" t="s">
        <v>73</v>
      </c>
      <c r="E445" s="1" t="s">
        <v>55</v>
      </c>
      <c r="F445" s="1" t="s">
        <v>46</v>
      </c>
      <c r="G445" s="1" t="s">
        <v>503</v>
      </c>
      <c r="H445">
        <v>444</v>
      </c>
      <c r="I445" s="1" t="s">
        <v>36</v>
      </c>
      <c r="J445" s="1" t="s">
        <v>31</v>
      </c>
      <c r="K445" s="1" t="s">
        <v>32</v>
      </c>
      <c r="L445" s="1" t="s">
        <v>33</v>
      </c>
      <c r="M445">
        <v>22</v>
      </c>
      <c r="N445">
        <v>143820</v>
      </c>
      <c r="O445">
        <v>4</v>
      </c>
      <c r="P445">
        <v>1</v>
      </c>
      <c r="Q445">
        <v>37</v>
      </c>
      <c r="R445">
        <v>40</v>
      </c>
      <c r="S445">
        <v>2</v>
      </c>
      <c r="T445">
        <v>3</v>
      </c>
      <c r="U445">
        <v>3</v>
      </c>
      <c r="V445">
        <v>4</v>
      </c>
      <c r="W445">
        <v>4</v>
      </c>
    </row>
    <row r="446" spans="1:23" x14ac:dyDescent="0.25">
      <c r="A446" s="1" t="s">
        <v>23</v>
      </c>
      <c r="B446" s="1" t="s">
        <v>44</v>
      </c>
      <c r="C446" s="1" t="s">
        <v>34</v>
      </c>
      <c r="D446" s="1" t="s">
        <v>26</v>
      </c>
      <c r="E446" s="1" t="s">
        <v>60</v>
      </c>
      <c r="F446" s="1" t="s">
        <v>41</v>
      </c>
      <c r="G446" s="1" t="s">
        <v>504</v>
      </c>
      <c r="H446">
        <v>445</v>
      </c>
      <c r="I446" s="1" t="s">
        <v>30</v>
      </c>
      <c r="J446" s="1" t="s">
        <v>31</v>
      </c>
      <c r="K446" s="1" t="s">
        <v>32</v>
      </c>
      <c r="L446" s="1" t="s">
        <v>23</v>
      </c>
      <c r="M446">
        <v>27</v>
      </c>
      <c r="N446">
        <v>135035</v>
      </c>
      <c r="O446">
        <v>1</v>
      </c>
      <c r="P446">
        <v>1</v>
      </c>
      <c r="Q446">
        <v>3</v>
      </c>
      <c r="R446">
        <v>2</v>
      </c>
      <c r="S446">
        <v>3</v>
      </c>
      <c r="T446">
        <v>3</v>
      </c>
      <c r="U446">
        <v>3</v>
      </c>
      <c r="V446">
        <v>26</v>
      </c>
      <c r="W446">
        <v>2</v>
      </c>
    </row>
    <row r="447" spans="1:23" x14ac:dyDescent="0.25">
      <c r="A447" s="1" t="s">
        <v>23</v>
      </c>
      <c r="B447" s="1" t="s">
        <v>44</v>
      </c>
      <c r="C447" s="1" t="s">
        <v>65</v>
      </c>
      <c r="D447" s="1" t="s">
        <v>26</v>
      </c>
      <c r="E447" s="1" t="s">
        <v>60</v>
      </c>
      <c r="F447" s="1" t="s">
        <v>41</v>
      </c>
      <c r="G447" s="1" t="s">
        <v>505</v>
      </c>
      <c r="H447">
        <v>446</v>
      </c>
      <c r="I447" s="1" t="s">
        <v>36</v>
      </c>
      <c r="J447" s="1" t="s">
        <v>31</v>
      </c>
      <c r="K447" s="1" t="s">
        <v>50</v>
      </c>
      <c r="L447" s="1" t="s">
        <v>33</v>
      </c>
      <c r="M447">
        <v>56</v>
      </c>
      <c r="N447">
        <v>31684</v>
      </c>
      <c r="O447">
        <v>3</v>
      </c>
      <c r="P447">
        <v>4</v>
      </c>
      <c r="Q447">
        <v>25</v>
      </c>
      <c r="R447">
        <v>6</v>
      </c>
      <c r="S447">
        <v>4</v>
      </c>
      <c r="T447">
        <v>4</v>
      </c>
      <c r="U447">
        <v>3</v>
      </c>
      <c r="V447">
        <v>28</v>
      </c>
      <c r="W447">
        <v>5</v>
      </c>
    </row>
    <row r="448" spans="1:23" x14ac:dyDescent="0.25">
      <c r="A448" s="1" t="s">
        <v>23</v>
      </c>
      <c r="B448" s="1" t="s">
        <v>44</v>
      </c>
      <c r="C448" s="1" t="s">
        <v>39</v>
      </c>
      <c r="D448" s="1" t="s">
        <v>26</v>
      </c>
      <c r="E448" s="1" t="s">
        <v>40</v>
      </c>
      <c r="F448" s="1" t="s">
        <v>68</v>
      </c>
      <c r="G448" s="1" t="s">
        <v>506</v>
      </c>
      <c r="H448">
        <v>447</v>
      </c>
      <c r="I448" s="1" t="s">
        <v>36</v>
      </c>
      <c r="J448" s="1" t="s">
        <v>43</v>
      </c>
      <c r="K448" s="1" t="s">
        <v>32</v>
      </c>
      <c r="L448" s="1" t="s">
        <v>33</v>
      </c>
      <c r="M448">
        <v>42</v>
      </c>
      <c r="N448">
        <v>24808</v>
      </c>
      <c r="O448">
        <v>4</v>
      </c>
      <c r="P448">
        <v>3</v>
      </c>
      <c r="Q448">
        <v>37</v>
      </c>
      <c r="R448">
        <v>12</v>
      </c>
      <c r="S448">
        <v>0</v>
      </c>
      <c r="T448">
        <v>1</v>
      </c>
      <c r="U448">
        <v>3</v>
      </c>
      <c r="V448">
        <v>20</v>
      </c>
      <c r="W448">
        <v>1</v>
      </c>
    </row>
    <row r="449" spans="1:23" x14ac:dyDescent="0.25">
      <c r="A449" s="1" t="s">
        <v>23</v>
      </c>
      <c r="B449" s="1" t="s">
        <v>24</v>
      </c>
      <c r="C449" s="1" t="s">
        <v>65</v>
      </c>
      <c r="D449" s="1" t="s">
        <v>26</v>
      </c>
      <c r="E449" s="1" t="s">
        <v>51</v>
      </c>
      <c r="F449" s="1" t="s">
        <v>52</v>
      </c>
      <c r="G449" s="1" t="s">
        <v>507</v>
      </c>
      <c r="H449">
        <v>448</v>
      </c>
      <c r="I449" s="1" t="s">
        <v>36</v>
      </c>
      <c r="J449" s="1" t="s">
        <v>37</v>
      </c>
      <c r="K449" s="1" t="s">
        <v>38</v>
      </c>
      <c r="L449" s="1" t="s">
        <v>23</v>
      </c>
      <c r="M449">
        <v>60</v>
      </c>
      <c r="N449">
        <v>134555</v>
      </c>
      <c r="O449">
        <v>2</v>
      </c>
      <c r="P449">
        <v>2</v>
      </c>
      <c r="Q449">
        <v>8</v>
      </c>
      <c r="R449">
        <v>2</v>
      </c>
      <c r="S449">
        <v>0</v>
      </c>
      <c r="T449">
        <v>2</v>
      </c>
      <c r="U449">
        <v>4</v>
      </c>
      <c r="V449">
        <v>19</v>
      </c>
      <c r="W449">
        <v>4</v>
      </c>
    </row>
    <row r="450" spans="1:23" x14ac:dyDescent="0.25">
      <c r="A450" s="1" t="s">
        <v>23</v>
      </c>
      <c r="B450" s="1" t="s">
        <v>44</v>
      </c>
      <c r="C450" s="1" t="s">
        <v>39</v>
      </c>
      <c r="D450" s="1" t="s">
        <v>26</v>
      </c>
      <c r="E450" s="1" t="s">
        <v>27</v>
      </c>
      <c r="F450" s="1" t="s">
        <v>41</v>
      </c>
      <c r="G450" s="1" t="s">
        <v>508</v>
      </c>
      <c r="H450">
        <v>449</v>
      </c>
      <c r="I450" s="1" t="s">
        <v>30</v>
      </c>
      <c r="J450" s="1" t="s">
        <v>70</v>
      </c>
      <c r="K450" s="1" t="s">
        <v>38</v>
      </c>
      <c r="L450" s="1" t="s">
        <v>23</v>
      </c>
      <c r="M450">
        <v>59</v>
      </c>
      <c r="N450">
        <v>107889</v>
      </c>
      <c r="O450">
        <v>3</v>
      </c>
      <c r="P450">
        <v>3</v>
      </c>
      <c r="Q450">
        <v>0</v>
      </c>
      <c r="R450">
        <v>33</v>
      </c>
      <c r="S450">
        <v>4</v>
      </c>
      <c r="T450">
        <v>2</v>
      </c>
      <c r="U450">
        <v>3</v>
      </c>
      <c r="V450">
        <v>8</v>
      </c>
      <c r="W450">
        <v>5</v>
      </c>
    </row>
    <row r="451" spans="1:23" x14ac:dyDescent="0.25">
      <c r="A451" s="1" t="s">
        <v>23</v>
      </c>
      <c r="B451" s="1" t="s">
        <v>44</v>
      </c>
      <c r="C451" s="1" t="s">
        <v>39</v>
      </c>
      <c r="D451" s="1" t="s">
        <v>26</v>
      </c>
      <c r="E451" s="1" t="s">
        <v>60</v>
      </c>
      <c r="F451" s="1" t="s">
        <v>46</v>
      </c>
      <c r="G451" s="1" t="s">
        <v>509</v>
      </c>
      <c r="H451">
        <v>450</v>
      </c>
      <c r="I451" s="1" t="s">
        <v>30</v>
      </c>
      <c r="J451" s="1" t="s">
        <v>48</v>
      </c>
      <c r="K451" s="1" t="s">
        <v>32</v>
      </c>
      <c r="L451" s="1" t="s">
        <v>33</v>
      </c>
      <c r="M451">
        <v>25</v>
      </c>
      <c r="N451">
        <v>107535</v>
      </c>
      <c r="O451">
        <v>2</v>
      </c>
      <c r="P451">
        <v>4</v>
      </c>
      <c r="Q451">
        <v>29</v>
      </c>
      <c r="R451">
        <v>38</v>
      </c>
      <c r="S451">
        <v>5</v>
      </c>
      <c r="T451">
        <v>3</v>
      </c>
      <c r="U451">
        <v>4</v>
      </c>
      <c r="V451">
        <v>20</v>
      </c>
      <c r="W451">
        <v>3</v>
      </c>
    </row>
    <row r="452" spans="1:23" x14ac:dyDescent="0.25">
      <c r="A452" s="1" t="s">
        <v>23</v>
      </c>
      <c r="B452" s="1" t="s">
        <v>24</v>
      </c>
      <c r="C452" s="1" t="s">
        <v>34</v>
      </c>
      <c r="D452" s="1" t="s">
        <v>26</v>
      </c>
      <c r="E452" s="1" t="s">
        <v>40</v>
      </c>
      <c r="F452" s="1" t="s">
        <v>68</v>
      </c>
      <c r="G452" s="1" t="s">
        <v>510</v>
      </c>
      <c r="H452">
        <v>451</v>
      </c>
      <c r="I452" s="1" t="s">
        <v>30</v>
      </c>
      <c r="J452" s="1" t="s">
        <v>64</v>
      </c>
      <c r="K452" s="1" t="s">
        <v>32</v>
      </c>
      <c r="L452" s="1" t="s">
        <v>33</v>
      </c>
      <c r="M452">
        <v>35</v>
      </c>
      <c r="N452">
        <v>140299</v>
      </c>
      <c r="O452">
        <v>2</v>
      </c>
      <c r="P452">
        <v>2</v>
      </c>
      <c r="Q452">
        <v>30</v>
      </c>
      <c r="R452">
        <v>21</v>
      </c>
      <c r="S452">
        <v>6</v>
      </c>
      <c r="T452">
        <v>4</v>
      </c>
      <c r="U452">
        <v>3</v>
      </c>
      <c r="V452">
        <v>13</v>
      </c>
      <c r="W452">
        <v>2</v>
      </c>
    </row>
    <row r="453" spans="1:23" x14ac:dyDescent="0.25">
      <c r="A453" s="1" t="s">
        <v>23</v>
      </c>
      <c r="B453" s="1" t="s">
        <v>24</v>
      </c>
      <c r="C453" s="1" t="s">
        <v>25</v>
      </c>
      <c r="D453" s="1" t="s">
        <v>26</v>
      </c>
      <c r="E453" s="1" t="s">
        <v>60</v>
      </c>
      <c r="F453" s="1" t="s">
        <v>46</v>
      </c>
      <c r="G453" s="1" t="s">
        <v>511</v>
      </c>
      <c r="H453">
        <v>452</v>
      </c>
      <c r="I453" s="1" t="s">
        <v>30</v>
      </c>
      <c r="J453" s="1" t="s">
        <v>59</v>
      </c>
      <c r="K453" s="1" t="s">
        <v>50</v>
      </c>
      <c r="L453" s="1" t="s">
        <v>33</v>
      </c>
      <c r="M453">
        <v>39</v>
      </c>
      <c r="N453">
        <v>133450</v>
      </c>
      <c r="O453">
        <v>2</v>
      </c>
      <c r="P453">
        <v>3</v>
      </c>
      <c r="Q453">
        <v>2</v>
      </c>
      <c r="R453">
        <v>1</v>
      </c>
      <c r="S453">
        <v>1</v>
      </c>
      <c r="T453">
        <v>2</v>
      </c>
      <c r="U453">
        <v>4</v>
      </c>
      <c r="V453">
        <v>6</v>
      </c>
      <c r="W453">
        <v>2</v>
      </c>
    </row>
    <row r="454" spans="1:23" x14ac:dyDescent="0.25">
      <c r="A454" s="1" t="s">
        <v>33</v>
      </c>
      <c r="B454" s="1" t="s">
        <v>54</v>
      </c>
      <c r="C454" s="1" t="s">
        <v>39</v>
      </c>
      <c r="D454" s="1" t="s">
        <v>73</v>
      </c>
      <c r="E454" s="1" t="s">
        <v>27</v>
      </c>
      <c r="F454" s="1" t="s">
        <v>28</v>
      </c>
      <c r="G454" s="1" t="s">
        <v>512</v>
      </c>
      <c r="H454">
        <v>453</v>
      </c>
      <c r="I454" s="1" t="s">
        <v>30</v>
      </c>
      <c r="J454" s="1" t="s">
        <v>48</v>
      </c>
      <c r="K454" s="1" t="s">
        <v>50</v>
      </c>
      <c r="L454" s="1" t="s">
        <v>33</v>
      </c>
      <c r="M454">
        <v>37</v>
      </c>
      <c r="N454">
        <v>44526</v>
      </c>
      <c r="O454">
        <v>1</v>
      </c>
      <c r="P454">
        <v>2</v>
      </c>
      <c r="Q454">
        <v>24</v>
      </c>
      <c r="R454">
        <v>41</v>
      </c>
      <c r="S454">
        <v>6</v>
      </c>
      <c r="T454">
        <v>1</v>
      </c>
      <c r="U454">
        <v>4</v>
      </c>
      <c r="V454">
        <v>30</v>
      </c>
      <c r="W454">
        <v>2</v>
      </c>
    </row>
    <row r="455" spans="1:23" x14ac:dyDescent="0.25">
      <c r="A455" s="1" t="s">
        <v>23</v>
      </c>
      <c r="B455" s="1" t="s">
        <v>54</v>
      </c>
      <c r="C455" s="1" t="s">
        <v>34</v>
      </c>
      <c r="D455" s="1" t="s">
        <v>26</v>
      </c>
      <c r="E455" s="1" t="s">
        <v>27</v>
      </c>
      <c r="F455" s="1" t="s">
        <v>28</v>
      </c>
      <c r="G455" s="1" t="s">
        <v>513</v>
      </c>
      <c r="H455">
        <v>454</v>
      </c>
      <c r="I455" s="1" t="s">
        <v>36</v>
      </c>
      <c r="J455" s="1" t="s">
        <v>31</v>
      </c>
      <c r="K455" s="1" t="s">
        <v>50</v>
      </c>
      <c r="L455" s="1" t="s">
        <v>33</v>
      </c>
      <c r="M455">
        <v>29</v>
      </c>
      <c r="N455">
        <v>67713</v>
      </c>
      <c r="O455">
        <v>2</v>
      </c>
      <c r="P455">
        <v>4</v>
      </c>
      <c r="Q455">
        <v>23</v>
      </c>
      <c r="R455">
        <v>20</v>
      </c>
      <c r="S455">
        <v>4</v>
      </c>
      <c r="T455">
        <v>4</v>
      </c>
      <c r="U455">
        <v>3</v>
      </c>
      <c r="V455">
        <v>30</v>
      </c>
      <c r="W455">
        <v>1</v>
      </c>
    </row>
    <row r="456" spans="1:23" x14ac:dyDescent="0.25">
      <c r="A456" s="1" t="s">
        <v>23</v>
      </c>
      <c r="B456" s="1" t="s">
        <v>44</v>
      </c>
      <c r="C456" s="1" t="s">
        <v>39</v>
      </c>
      <c r="D456" s="1" t="s">
        <v>26</v>
      </c>
      <c r="E456" s="1" t="s">
        <v>51</v>
      </c>
      <c r="F456" s="1" t="s">
        <v>28</v>
      </c>
      <c r="G456" s="1" t="s">
        <v>514</v>
      </c>
      <c r="H456">
        <v>455</v>
      </c>
      <c r="I456" s="1" t="s">
        <v>36</v>
      </c>
      <c r="J456" s="1" t="s">
        <v>48</v>
      </c>
      <c r="K456" s="1" t="s">
        <v>50</v>
      </c>
      <c r="L456" s="1" t="s">
        <v>23</v>
      </c>
      <c r="M456">
        <v>29</v>
      </c>
      <c r="N456">
        <v>151239</v>
      </c>
      <c r="O456">
        <v>4</v>
      </c>
      <c r="P456">
        <v>2</v>
      </c>
      <c r="Q456">
        <v>5</v>
      </c>
      <c r="R456">
        <v>30</v>
      </c>
      <c r="S456">
        <v>6</v>
      </c>
      <c r="T456">
        <v>1</v>
      </c>
      <c r="U456">
        <v>3</v>
      </c>
      <c r="V456">
        <v>17</v>
      </c>
      <c r="W456">
        <v>4</v>
      </c>
    </row>
    <row r="457" spans="1:23" x14ac:dyDescent="0.25">
      <c r="A457" s="1" t="s">
        <v>23</v>
      </c>
      <c r="B457" s="1" t="s">
        <v>44</v>
      </c>
      <c r="C457" s="1" t="s">
        <v>39</v>
      </c>
      <c r="D457" s="1" t="s">
        <v>26</v>
      </c>
      <c r="E457" s="1" t="s">
        <v>51</v>
      </c>
      <c r="F457" s="1" t="s">
        <v>68</v>
      </c>
      <c r="G457" s="1" t="s">
        <v>515</v>
      </c>
      <c r="H457">
        <v>456</v>
      </c>
      <c r="I457" s="1" t="s">
        <v>36</v>
      </c>
      <c r="J457" s="1" t="s">
        <v>70</v>
      </c>
      <c r="K457" s="1" t="s">
        <v>38</v>
      </c>
      <c r="L457" s="1" t="s">
        <v>23</v>
      </c>
      <c r="M457">
        <v>54</v>
      </c>
      <c r="N457">
        <v>144693</v>
      </c>
      <c r="O457">
        <v>4</v>
      </c>
      <c r="P457">
        <v>4</v>
      </c>
      <c r="Q457">
        <v>17</v>
      </c>
      <c r="R457">
        <v>37</v>
      </c>
      <c r="S457">
        <v>3</v>
      </c>
      <c r="T457">
        <v>1</v>
      </c>
      <c r="U457">
        <v>3</v>
      </c>
      <c r="V457">
        <v>8</v>
      </c>
      <c r="W457">
        <v>2</v>
      </c>
    </row>
    <row r="458" spans="1:23" x14ac:dyDescent="0.25">
      <c r="A458" s="1" t="s">
        <v>23</v>
      </c>
      <c r="B458" s="1" t="s">
        <v>44</v>
      </c>
      <c r="C458" s="1" t="s">
        <v>34</v>
      </c>
      <c r="D458" s="1" t="s">
        <v>26</v>
      </c>
      <c r="E458" s="1" t="s">
        <v>55</v>
      </c>
      <c r="F458" s="1" t="s">
        <v>68</v>
      </c>
      <c r="G458" s="1" t="s">
        <v>516</v>
      </c>
      <c r="H458">
        <v>457</v>
      </c>
      <c r="I458" s="1" t="s">
        <v>36</v>
      </c>
      <c r="J458" s="1" t="s">
        <v>43</v>
      </c>
      <c r="K458" s="1" t="s">
        <v>50</v>
      </c>
      <c r="L458" s="1" t="s">
        <v>23</v>
      </c>
      <c r="M458">
        <v>37</v>
      </c>
      <c r="N458">
        <v>162323</v>
      </c>
      <c r="O458">
        <v>1</v>
      </c>
      <c r="P458">
        <v>2</v>
      </c>
      <c r="Q458">
        <v>5</v>
      </c>
      <c r="R458">
        <v>18</v>
      </c>
      <c r="S458">
        <v>3</v>
      </c>
      <c r="T458">
        <v>3</v>
      </c>
      <c r="U458">
        <v>3</v>
      </c>
      <c r="V458">
        <v>19</v>
      </c>
      <c r="W458">
        <v>1</v>
      </c>
    </row>
    <row r="459" spans="1:23" x14ac:dyDescent="0.25">
      <c r="A459" s="1" t="s">
        <v>23</v>
      </c>
      <c r="B459" s="1" t="s">
        <v>44</v>
      </c>
      <c r="C459" s="1" t="s">
        <v>39</v>
      </c>
      <c r="D459" s="1" t="s">
        <v>26</v>
      </c>
      <c r="E459" s="1" t="s">
        <v>40</v>
      </c>
      <c r="F459" s="1" t="s">
        <v>68</v>
      </c>
      <c r="G459" s="1" t="s">
        <v>517</v>
      </c>
      <c r="H459">
        <v>458</v>
      </c>
      <c r="I459" s="1" t="s">
        <v>36</v>
      </c>
      <c r="J459" s="1" t="s">
        <v>41</v>
      </c>
      <c r="K459" s="1" t="s">
        <v>38</v>
      </c>
      <c r="L459" s="1" t="s">
        <v>23</v>
      </c>
      <c r="M459">
        <v>41</v>
      </c>
      <c r="N459">
        <v>89570</v>
      </c>
      <c r="O459">
        <v>4</v>
      </c>
      <c r="P459">
        <v>1</v>
      </c>
      <c r="Q459">
        <v>11</v>
      </c>
      <c r="R459">
        <v>28</v>
      </c>
      <c r="S459">
        <v>1</v>
      </c>
      <c r="T459">
        <v>3</v>
      </c>
      <c r="U459">
        <v>3</v>
      </c>
      <c r="V459">
        <v>12</v>
      </c>
      <c r="W459">
        <v>1</v>
      </c>
    </row>
    <row r="460" spans="1:23" x14ac:dyDescent="0.25">
      <c r="A460" s="1" t="s">
        <v>23</v>
      </c>
      <c r="B460" s="1" t="s">
        <v>54</v>
      </c>
      <c r="C460" s="1" t="s">
        <v>39</v>
      </c>
      <c r="D460" s="1" t="s">
        <v>26</v>
      </c>
      <c r="E460" s="1" t="s">
        <v>51</v>
      </c>
      <c r="F460" s="1" t="s">
        <v>66</v>
      </c>
      <c r="G460" s="1" t="s">
        <v>518</v>
      </c>
      <c r="H460">
        <v>459</v>
      </c>
      <c r="I460" s="1" t="s">
        <v>36</v>
      </c>
      <c r="J460" s="1" t="s">
        <v>48</v>
      </c>
      <c r="K460" s="1" t="s">
        <v>50</v>
      </c>
      <c r="L460" s="1" t="s">
        <v>33</v>
      </c>
      <c r="M460">
        <v>25</v>
      </c>
      <c r="N460">
        <v>112433</v>
      </c>
      <c r="O460">
        <v>1</v>
      </c>
      <c r="P460">
        <v>2</v>
      </c>
      <c r="Q460">
        <v>21</v>
      </c>
      <c r="R460">
        <v>12</v>
      </c>
      <c r="S460">
        <v>5</v>
      </c>
      <c r="T460">
        <v>3</v>
      </c>
      <c r="U460">
        <v>4</v>
      </c>
      <c r="V460">
        <v>10</v>
      </c>
      <c r="W460">
        <v>3</v>
      </c>
    </row>
    <row r="461" spans="1:23" x14ac:dyDescent="0.25">
      <c r="A461" s="1" t="s">
        <v>23</v>
      </c>
      <c r="B461" s="1" t="s">
        <v>54</v>
      </c>
      <c r="C461" s="1" t="s">
        <v>39</v>
      </c>
      <c r="D461" s="1" t="s">
        <v>26</v>
      </c>
      <c r="E461" s="1" t="s">
        <v>55</v>
      </c>
      <c r="F461" s="1" t="s">
        <v>52</v>
      </c>
      <c r="G461" s="1" t="s">
        <v>519</v>
      </c>
      <c r="H461">
        <v>460</v>
      </c>
      <c r="I461" s="1" t="s">
        <v>36</v>
      </c>
      <c r="J461" s="1" t="s">
        <v>64</v>
      </c>
      <c r="K461" s="1" t="s">
        <v>38</v>
      </c>
      <c r="L461" s="1" t="s">
        <v>23</v>
      </c>
      <c r="M461">
        <v>43</v>
      </c>
      <c r="N461">
        <v>123856</v>
      </c>
      <c r="O461">
        <v>4</v>
      </c>
      <c r="P461">
        <v>1</v>
      </c>
      <c r="Q461">
        <v>30</v>
      </c>
      <c r="R461">
        <v>41</v>
      </c>
      <c r="S461">
        <v>4</v>
      </c>
      <c r="T461">
        <v>2</v>
      </c>
      <c r="U461">
        <v>4</v>
      </c>
      <c r="V461">
        <v>8</v>
      </c>
      <c r="W461">
        <v>2</v>
      </c>
    </row>
    <row r="462" spans="1:23" x14ac:dyDescent="0.25">
      <c r="A462" s="1" t="s">
        <v>23</v>
      </c>
      <c r="B462" s="1" t="s">
        <v>54</v>
      </c>
      <c r="C462" s="1" t="s">
        <v>34</v>
      </c>
      <c r="D462" s="1" t="s">
        <v>26</v>
      </c>
      <c r="E462" s="1" t="s">
        <v>55</v>
      </c>
      <c r="F462" s="1" t="s">
        <v>41</v>
      </c>
      <c r="G462" s="1" t="s">
        <v>520</v>
      </c>
      <c r="H462">
        <v>461</v>
      </c>
      <c r="I462" s="1" t="s">
        <v>36</v>
      </c>
      <c r="J462" s="1" t="s">
        <v>86</v>
      </c>
      <c r="K462" s="1" t="s">
        <v>38</v>
      </c>
      <c r="L462" s="1" t="s">
        <v>33</v>
      </c>
      <c r="M462">
        <v>41</v>
      </c>
      <c r="N462">
        <v>67242</v>
      </c>
      <c r="O462">
        <v>4</v>
      </c>
      <c r="P462">
        <v>4</v>
      </c>
      <c r="Q462">
        <v>13</v>
      </c>
      <c r="R462">
        <v>28</v>
      </c>
      <c r="S462">
        <v>3</v>
      </c>
      <c r="T462">
        <v>1</v>
      </c>
      <c r="U462">
        <v>4</v>
      </c>
      <c r="V462">
        <v>5</v>
      </c>
      <c r="W462">
        <v>5</v>
      </c>
    </row>
    <row r="463" spans="1:23" x14ac:dyDescent="0.25">
      <c r="A463" s="1" t="s">
        <v>33</v>
      </c>
      <c r="B463" s="1" t="s">
        <v>24</v>
      </c>
      <c r="C463" s="1" t="s">
        <v>34</v>
      </c>
      <c r="D463" s="1" t="s">
        <v>73</v>
      </c>
      <c r="E463" s="1" t="s">
        <v>46</v>
      </c>
      <c r="F463" s="1" t="s">
        <v>68</v>
      </c>
      <c r="G463" s="1" t="s">
        <v>521</v>
      </c>
      <c r="H463">
        <v>462</v>
      </c>
      <c r="I463" s="1" t="s">
        <v>36</v>
      </c>
      <c r="J463" s="1" t="s">
        <v>37</v>
      </c>
      <c r="K463" s="1" t="s">
        <v>50</v>
      </c>
      <c r="L463" s="1" t="s">
        <v>23</v>
      </c>
      <c r="M463">
        <v>48</v>
      </c>
      <c r="N463">
        <v>123740</v>
      </c>
      <c r="O463">
        <v>3</v>
      </c>
      <c r="P463">
        <v>3</v>
      </c>
      <c r="Q463">
        <v>37</v>
      </c>
      <c r="R463">
        <v>1</v>
      </c>
      <c r="S463">
        <v>4</v>
      </c>
      <c r="T463">
        <v>1</v>
      </c>
      <c r="U463">
        <v>3</v>
      </c>
      <c r="V463">
        <v>5</v>
      </c>
      <c r="W463">
        <v>3</v>
      </c>
    </row>
    <row r="464" spans="1:23" x14ac:dyDescent="0.25">
      <c r="A464" s="1" t="s">
        <v>23</v>
      </c>
      <c r="B464" s="1" t="s">
        <v>54</v>
      </c>
      <c r="C464" s="1" t="s">
        <v>65</v>
      </c>
      <c r="D464" s="1" t="s">
        <v>26</v>
      </c>
      <c r="E464" s="1" t="s">
        <v>51</v>
      </c>
      <c r="F464" s="1" t="s">
        <v>68</v>
      </c>
      <c r="G464" s="1" t="s">
        <v>522</v>
      </c>
      <c r="H464">
        <v>463</v>
      </c>
      <c r="I464" s="1" t="s">
        <v>36</v>
      </c>
      <c r="J464" s="1" t="s">
        <v>48</v>
      </c>
      <c r="K464" s="1" t="s">
        <v>38</v>
      </c>
      <c r="L464" s="1" t="s">
        <v>33</v>
      </c>
      <c r="M464">
        <v>55</v>
      </c>
      <c r="N464">
        <v>119301</v>
      </c>
      <c r="O464">
        <v>2</v>
      </c>
      <c r="P464">
        <v>4</v>
      </c>
      <c r="Q464">
        <v>6</v>
      </c>
      <c r="R464">
        <v>21</v>
      </c>
      <c r="S464">
        <v>4</v>
      </c>
      <c r="T464">
        <v>4</v>
      </c>
      <c r="U464">
        <v>4</v>
      </c>
      <c r="V464">
        <v>3</v>
      </c>
      <c r="W464">
        <v>2</v>
      </c>
    </row>
    <row r="465" spans="1:23" x14ac:dyDescent="0.25">
      <c r="A465" s="1" t="s">
        <v>23</v>
      </c>
      <c r="B465" s="1" t="s">
        <v>54</v>
      </c>
      <c r="C465" s="1" t="s">
        <v>39</v>
      </c>
      <c r="D465" s="1" t="s">
        <v>26</v>
      </c>
      <c r="E465" s="1" t="s">
        <v>60</v>
      </c>
      <c r="F465" s="1" t="s">
        <v>41</v>
      </c>
      <c r="G465" s="1" t="s">
        <v>523</v>
      </c>
      <c r="H465">
        <v>464</v>
      </c>
      <c r="I465" s="1" t="s">
        <v>36</v>
      </c>
      <c r="J465" s="1" t="s">
        <v>64</v>
      </c>
      <c r="K465" s="1" t="s">
        <v>50</v>
      </c>
      <c r="L465" s="1" t="s">
        <v>33</v>
      </c>
      <c r="M465">
        <v>25</v>
      </c>
      <c r="N465">
        <v>119159</v>
      </c>
      <c r="O465">
        <v>3</v>
      </c>
      <c r="P465">
        <v>2</v>
      </c>
      <c r="Q465">
        <v>14</v>
      </c>
      <c r="R465">
        <v>18</v>
      </c>
      <c r="S465">
        <v>5</v>
      </c>
      <c r="T465">
        <v>1</v>
      </c>
      <c r="U465">
        <v>4</v>
      </c>
      <c r="V465">
        <v>2</v>
      </c>
      <c r="W465">
        <v>3</v>
      </c>
    </row>
    <row r="466" spans="1:23" x14ac:dyDescent="0.25">
      <c r="A466" s="1" t="s">
        <v>23</v>
      </c>
      <c r="B466" s="1" t="s">
        <v>44</v>
      </c>
      <c r="C466" s="1" t="s">
        <v>34</v>
      </c>
      <c r="D466" s="1" t="s">
        <v>26</v>
      </c>
      <c r="E466" s="1" t="s">
        <v>40</v>
      </c>
      <c r="F466" s="1" t="s">
        <v>28</v>
      </c>
      <c r="G466" s="1" t="s">
        <v>524</v>
      </c>
      <c r="H466">
        <v>465</v>
      </c>
      <c r="I466" s="1" t="s">
        <v>30</v>
      </c>
      <c r="J466" s="1" t="s">
        <v>70</v>
      </c>
      <c r="K466" s="1" t="s">
        <v>32</v>
      </c>
      <c r="L466" s="1" t="s">
        <v>23</v>
      </c>
      <c r="M466">
        <v>51</v>
      </c>
      <c r="N466">
        <v>36025</v>
      </c>
      <c r="O466">
        <v>4</v>
      </c>
      <c r="P466">
        <v>2</v>
      </c>
      <c r="Q466">
        <v>8</v>
      </c>
      <c r="R466">
        <v>13</v>
      </c>
      <c r="S466">
        <v>2</v>
      </c>
      <c r="T466">
        <v>4</v>
      </c>
      <c r="U466">
        <v>4</v>
      </c>
      <c r="V466">
        <v>6</v>
      </c>
      <c r="W466">
        <v>5</v>
      </c>
    </row>
    <row r="467" spans="1:23" x14ac:dyDescent="0.25">
      <c r="A467" s="1" t="s">
        <v>23</v>
      </c>
      <c r="B467" s="1" t="s">
        <v>54</v>
      </c>
      <c r="C467" s="1" t="s">
        <v>34</v>
      </c>
      <c r="D467" s="1" t="s">
        <v>26</v>
      </c>
      <c r="E467" s="1" t="s">
        <v>55</v>
      </c>
      <c r="F467" s="1" t="s">
        <v>52</v>
      </c>
      <c r="G467" s="1" t="s">
        <v>525</v>
      </c>
      <c r="H467">
        <v>466</v>
      </c>
      <c r="I467" s="1" t="s">
        <v>36</v>
      </c>
      <c r="J467" s="1" t="s">
        <v>76</v>
      </c>
      <c r="K467" s="1" t="s">
        <v>50</v>
      </c>
      <c r="L467" s="1" t="s">
        <v>33</v>
      </c>
      <c r="M467">
        <v>30</v>
      </c>
      <c r="N467">
        <v>134845</v>
      </c>
      <c r="O467">
        <v>1</v>
      </c>
      <c r="P467">
        <v>4</v>
      </c>
      <c r="Q467">
        <v>38</v>
      </c>
      <c r="R467">
        <v>15</v>
      </c>
      <c r="S467">
        <v>4</v>
      </c>
      <c r="T467">
        <v>3</v>
      </c>
      <c r="U467">
        <v>4</v>
      </c>
      <c r="V467">
        <v>15</v>
      </c>
      <c r="W467">
        <v>4</v>
      </c>
    </row>
    <row r="468" spans="1:23" x14ac:dyDescent="0.25">
      <c r="A468" s="1" t="s">
        <v>23</v>
      </c>
      <c r="B468" s="1" t="s">
        <v>54</v>
      </c>
      <c r="C468" s="1" t="s">
        <v>39</v>
      </c>
      <c r="D468" s="1" t="s">
        <v>26</v>
      </c>
      <c r="E468" s="1" t="s">
        <v>27</v>
      </c>
      <c r="F468" s="1" t="s">
        <v>68</v>
      </c>
      <c r="G468" s="1" t="s">
        <v>526</v>
      </c>
      <c r="H468">
        <v>467</v>
      </c>
      <c r="I468" s="1" t="s">
        <v>36</v>
      </c>
      <c r="J468" s="1" t="s">
        <v>76</v>
      </c>
      <c r="K468" s="1" t="s">
        <v>38</v>
      </c>
      <c r="L468" s="1" t="s">
        <v>33</v>
      </c>
      <c r="M468">
        <v>47</v>
      </c>
      <c r="N468">
        <v>83309</v>
      </c>
      <c r="O468">
        <v>2</v>
      </c>
      <c r="P468">
        <v>4</v>
      </c>
      <c r="Q468">
        <v>29</v>
      </c>
      <c r="R468">
        <v>24</v>
      </c>
      <c r="S468">
        <v>5</v>
      </c>
      <c r="T468">
        <v>2</v>
      </c>
      <c r="U468">
        <v>3</v>
      </c>
      <c r="V468">
        <v>13</v>
      </c>
      <c r="W468">
        <v>1</v>
      </c>
    </row>
    <row r="469" spans="1:23" x14ac:dyDescent="0.25">
      <c r="A469" s="1" t="s">
        <v>23</v>
      </c>
      <c r="B469" s="1" t="s">
        <v>54</v>
      </c>
      <c r="C469" s="1" t="s">
        <v>65</v>
      </c>
      <c r="D469" s="1" t="s">
        <v>26</v>
      </c>
      <c r="E469" s="1" t="s">
        <v>27</v>
      </c>
      <c r="F469" s="1" t="s">
        <v>41</v>
      </c>
      <c r="G469" s="1" t="s">
        <v>527</v>
      </c>
      <c r="H469">
        <v>468</v>
      </c>
      <c r="I469" s="1" t="s">
        <v>36</v>
      </c>
      <c r="J469" s="1" t="s">
        <v>31</v>
      </c>
      <c r="K469" s="1" t="s">
        <v>32</v>
      </c>
      <c r="L469" s="1" t="s">
        <v>33</v>
      </c>
      <c r="M469">
        <v>52</v>
      </c>
      <c r="N469">
        <v>125814</v>
      </c>
      <c r="O469">
        <v>1</v>
      </c>
      <c r="P469">
        <v>3</v>
      </c>
      <c r="Q469">
        <v>4</v>
      </c>
      <c r="R469">
        <v>6</v>
      </c>
      <c r="S469">
        <v>4</v>
      </c>
      <c r="T469">
        <v>3</v>
      </c>
      <c r="U469">
        <v>4</v>
      </c>
      <c r="V469">
        <v>15</v>
      </c>
      <c r="W469">
        <v>2</v>
      </c>
    </row>
    <row r="470" spans="1:23" x14ac:dyDescent="0.25">
      <c r="A470" s="1" t="s">
        <v>23</v>
      </c>
      <c r="B470" s="1" t="s">
        <v>24</v>
      </c>
      <c r="C470" s="1" t="s">
        <v>39</v>
      </c>
      <c r="D470" s="1" t="s">
        <v>26</v>
      </c>
      <c r="E470" s="1" t="s">
        <v>40</v>
      </c>
      <c r="F470" s="1" t="s">
        <v>66</v>
      </c>
      <c r="G470" s="1" t="s">
        <v>528</v>
      </c>
      <c r="H470">
        <v>469</v>
      </c>
      <c r="I470" s="1" t="s">
        <v>36</v>
      </c>
      <c r="J470" s="1" t="s">
        <v>41</v>
      </c>
      <c r="K470" s="1" t="s">
        <v>38</v>
      </c>
      <c r="L470" s="1" t="s">
        <v>23</v>
      </c>
      <c r="M470">
        <v>33</v>
      </c>
      <c r="N470">
        <v>121985</v>
      </c>
      <c r="O470">
        <v>1</v>
      </c>
      <c r="P470">
        <v>1</v>
      </c>
      <c r="Q470">
        <v>16</v>
      </c>
      <c r="R470">
        <v>7</v>
      </c>
      <c r="S470">
        <v>5</v>
      </c>
      <c r="T470">
        <v>2</v>
      </c>
      <c r="U470">
        <v>4</v>
      </c>
      <c r="V470">
        <v>22</v>
      </c>
      <c r="W470">
        <v>4</v>
      </c>
    </row>
    <row r="471" spans="1:23" x14ac:dyDescent="0.25">
      <c r="A471" s="1" t="s">
        <v>23</v>
      </c>
      <c r="B471" s="1" t="s">
        <v>54</v>
      </c>
      <c r="C471" s="1" t="s">
        <v>25</v>
      </c>
      <c r="D471" s="1" t="s">
        <v>26</v>
      </c>
      <c r="E471" s="1" t="s">
        <v>51</v>
      </c>
      <c r="F471" s="1" t="s">
        <v>28</v>
      </c>
      <c r="G471" s="1" t="s">
        <v>529</v>
      </c>
      <c r="H471">
        <v>470</v>
      </c>
      <c r="I471" s="1" t="s">
        <v>36</v>
      </c>
      <c r="J471" s="1" t="s">
        <v>70</v>
      </c>
      <c r="K471" s="1" t="s">
        <v>38</v>
      </c>
      <c r="L471" s="1" t="s">
        <v>23</v>
      </c>
      <c r="M471">
        <v>31</v>
      </c>
      <c r="N471">
        <v>62718</v>
      </c>
      <c r="O471">
        <v>1</v>
      </c>
      <c r="P471">
        <v>1</v>
      </c>
      <c r="Q471">
        <v>11</v>
      </c>
      <c r="R471">
        <v>18</v>
      </c>
      <c r="S471">
        <v>0</v>
      </c>
      <c r="T471">
        <v>4</v>
      </c>
      <c r="U471">
        <v>3</v>
      </c>
      <c r="V471">
        <v>3</v>
      </c>
      <c r="W471">
        <v>1</v>
      </c>
    </row>
    <row r="472" spans="1:23" x14ac:dyDescent="0.25">
      <c r="A472" s="1" t="s">
        <v>23</v>
      </c>
      <c r="B472" s="1" t="s">
        <v>24</v>
      </c>
      <c r="C472" s="1" t="s">
        <v>34</v>
      </c>
      <c r="D472" s="1" t="s">
        <v>26</v>
      </c>
      <c r="E472" s="1" t="s">
        <v>27</v>
      </c>
      <c r="F472" s="1" t="s">
        <v>28</v>
      </c>
      <c r="G472" s="1" t="s">
        <v>530</v>
      </c>
      <c r="H472">
        <v>471</v>
      </c>
      <c r="I472" s="1" t="s">
        <v>30</v>
      </c>
      <c r="J472" s="1" t="s">
        <v>59</v>
      </c>
      <c r="K472" s="1" t="s">
        <v>50</v>
      </c>
      <c r="L472" s="1" t="s">
        <v>23</v>
      </c>
      <c r="M472">
        <v>24</v>
      </c>
      <c r="N472">
        <v>155068</v>
      </c>
      <c r="O472">
        <v>1</v>
      </c>
      <c r="P472">
        <v>4</v>
      </c>
      <c r="Q472">
        <v>19</v>
      </c>
      <c r="R472">
        <v>28</v>
      </c>
      <c r="S472">
        <v>0</v>
      </c>
      <c r="T472">
        <v>1</v>
      </c>
      <c r="U472">
        <v>3</v>
      </c>
      <c r="V472">
        <v>25</v>
      </c>
      <c r="W472">
        <v>4</v>
      </c>
    </row>
    <row r="473" spans="1:23" x14ac:dyDescent="0.25">
      <c r="A473" s="1" t="s">
        <v>23</v>
      </c>
      <c r="B473" s="1" t="s">
        <v>24</v>
      </c>
      <c r="C473" s="1" t="s">
        <v>65</v>
      </c>
      <c r="D473" s="1" t="s">
        <v>26</v>
      </c>
      <c r="E473" s="1" t="s">
        <v>27</v>
      </c>
      <c r="F473" s="1" t="s">
        <v>28</v>
      </c>
      <c r="G473" s="1" t="s">
        <v>531</v>
      </c>
      <c r="H473">
        <v>472</v>
      </c>
      <c r="I473" s="1" t="s">
        <v>30</v>
      </c>
      <c r="J473" s="1" t="s">
        <v>64</v>
      </c>
      <c r="K473" s="1" t="s">
        <v>38</v>
      </c>
      <c r="L473" s="1" t="s">
        <v>33</v>
      </c>
      <c r="M473">
        <v>21</v>
      </c>
      <c r="N473">
        <v>106373</v>
      </c>
      <c r="O473">
        <v>2</v>
      </c>
      <c r="P473">
        <v>1</v>
      </c>
      <c r="Q473">
        <v>14</v>
      </c>
      <c r="R473">
        <v>6</v>
      </c>
      <c r="S473">
        <v>6</v>
      </c>
      <c r="T473">
        <v>2</v>
      </c>
      <c r="U473">
        <v>3</v>
      </c>
      <c r="V473">
        <v>2</v>
      </c>
      <c r="W473">
        <v>4</v>
      </c>
    </row>
    <row r="474" spans="1:23" x14ac:dyDescent="0.25">
      <c r="A474" s="1" t="s">
        <v>23</v>
      </c>
      <c r="B474" s="1" t="s">
        <v>54</v>
      </c>
      <c r="C474" s="1" t="s">
        <v>65</v>
      </c>
      <c r="D474" s="1" t="s">
        <v>26</v>
      </c>
      <c r="E474" s="1" t="s">
        <v>27</v>
      </c>
      <c r="F474" s="1" t="s">
        <v>52</v>
      </c>
      <c r="G474" s="1" t="s">
        <v>532</v>
      </c>
      <c r="H474">
        <v>473</v>
      </c>
      <c r="I474" s="1" t="s">
        <v>30</v>
      </c>
      <c r="J474" s="1" t="s">
        <v>43</v>
      </c>
      <c r="K474" s="1" t="s">
        <v>50</v>
      </c>
      <c r="L474" s="1" t="s">
        <v>23</v>
      </c>
      <c r="M474">
        <v>48</v>
      </c>
      <c r="N474">
        <v>49668</v>
      </c>
      <c r="O474">
        <v>2</v>
      </c>
      <c r="P474">
        <v>2</v>
      </c>
      <c r="Q474">
        <v>6</v>
      </c>
      <c r="R474">
        <v>22</v>
      </c>
      <c r="S474">
        <v>2</v>
      </c>
      <c r="T474">
        <v>2</v>
      </c>
      <c r="U474">
        <v>3</v>
      </c>
      <c r="V474">
        <v>13</v>
      </c>
      <c r="W474">
        <v>3</v>
      </c>
    </row>
    <row r="475" spans="1:23" x14ac:dyDescent="0.25">
      <c r="A475" s="1" t="s">
        <v>23</v>
      </c>
      <c r="B475" s="1" t="s">
        <v>24</v>
      </c>
      <c r="C475" s="1" t="s">
        <v>34</v>
      </c>
      <c r="D475" s="1" t="s">
        <v>26</v>
      </c>
      <c r="E475" s="1" t="s">
        <v>55</v>
      </c>
      <c r="F475" s="1" t="s">
        <v>52</v>
      </c>
      <c r="G475" s="1" t="s">
        <v>533</v>
      </c>
      <c r="H475">
        <v>474</v>
      </c>
      <c r="I475" s="1" t="s">
        <v>36</v>
      </c>
      <c r="J475" s="1" t="s">
        <v>43</v>
      </c>
      <c r="K475" s="1" t="s">
        <v>38</v>
      </c>
      <c r="L475" s="1" t="s">
        <v>33</v>
      </c>
      <c r="M475">
        <v>25</v>
      </c>
      <c r="N475">
        <v>75294</v>
      </c>
      <c r="O475">
        <v>4</v>
      </c>
      <c r="P475">
        <v>3</v>
      </c>
      <c r="Q475">
        <v>38</v>
      </c>
      <c r="R475">
        <v>31</v>
      </c>
      <c r="S475">
        <v>0</v>
      </c>
      <c r="T475">
        <v>2</v>
      </c>
      <c r="U475">
        <v>4</v>
      </c>
      <c r="V475">
        <v>4</v>
      </c>
      <c r="W475">
        <v>5</v>
      </c>
    </row>
    <row r="476" spans="1:23" x14ac:dyDescent="0.25">
      <c r="A476" s="1" t="s">
        <v>23</v>
      </c>
      <c r="B476" s="1" t="s">
        <v>54</v>
      </c>
      <c r="C476" s="1" t="s">
        <v>39</v>
      </c>
      <c r="D476" s="1" t="s">
        <v>26</v>
      </c>
      <c r="E476" s="1" t="s">
        <v>40</v>
      </c>
      <c r="F476" s="1" t="s">
        <v>52</v>
      </c>
      <c r="G476" s="1" t="s">
        <v>534</v>
      </c>
      <c r="H476">
        <v>475</v>
      </c>
      <c r="I476" s="1" t="s">
        <v>30</v>
      </c>
      <c r="J476" s="1" t="s">
        <v>37</v>
      </c>
      <c r="K476" s="1" t="s">
        <v>50</v>
      </c>
      <c r="L476" s="1" t="s">
        <v>23</v>
      </c>
      <c r="M476">
        <v>51</v>
      </c>
      <c r="N476">
        <v>35698</v>
      </c>
      <c r="O476">
        <v>3</v>
      </c>
      <c r="P476">
        <v>1</v>
      </c>
      <c r="Q476">
        <v>38</v>
      </c>
      <c r="R476">
        <v>37</v>
      </c>
      <c r="S476">
        <v>3</v>
      </c>
      <c r="T476">
        <v>4</v>
      </c>
      <c r="U476">
        <v>3</v>
      </c>
      <c r="V476">
        <v>17</v>
      </c>
      <c r="W476">
        <v>5</v>
      </c>
    </row>
    <row r="477" spans="1:23" x14ac:dyDescent="0.25">
      <c r="A477" s="1" t="s">
        <v>23</v>
      </c>
      <c r="B477" s="1" t="s">
        <v>54</v>
      </c>
      <c r="C477" s="1" t="s">
        <v>25</v>
      </c>
      <c r="D477" s="1" t="s">
        <v>26</v>
      </c>
      <c r="E477" s="1" t="s">
        <v>60</v>
      </c>
      <c r="F477" s="1" t="s">
        <v>66</v>
      </c>
      <c r="G477" s="1" t="s">
        <v>535</v>
      </c>
      <c r="H477">
        <v>476</v>
      </c>
      <c r="I477" s="1" t="s">
        <v>36</v>
      </c>
      <c r="J477" s="1" t="s">
        <v>48</v>
      </c>
      <c r="K477" s="1" t="s">
        <v>32</v>
      </c>
      <c r="L477" s="1" t="s">
        <v>23</v>
      </c>
      <c r="M477">
        <v>36</v>
      </c>
      <c r="N477">
        <v>38811</v>
      </c>
      <c r="O477">
        <v>1</v>
      </c>
      <c r="P477">
        <v>2</v>
      </c>
      <c r="Q477">
        <v>23</v>
      </c>
      <c r="R477">
        <v>31</v>
      </c>
      <c r="S477">
        <v>2</v>
      </c>
      <c r="T477">
        <v>2</v>
      </c>
      <c r="U477">
        <v>3</v>
      </c>
      <c r="V477">
        <v>13</v>
      </c>
      <c r="W477">
        <v>2</v>
      </c>
    </row>
    <row r="478" spans="1:23" x14ac:dyDescent="0.25">
      <c r="A478" s="1" t="s">
        <v>23</v>
      </c>
      <c r="B478" s="1" t="s">
        <v>54</v>
      </c>
      <c r="C478" s="1" t="s">
        <v>34</v>
      </c>
      <c r="D478" s="1" t="s">
        <v>26</v>
      </c>
      <c r="E478" s="1" t="s">
        <v>46</v>
      </c>
      <c r="F478" s="1" t="s">
        <v>68</v>
      </c>
      <c r="G478" s="1" t="s">
        <v>536</v>
      </c>
      <c r="H478">
        <v>477</v>
      </c>
      <c r="I478" s="1" t="s">
        <v>36</v>
      </c>
      <c r="J478" s="1" t="s">
        <v>70</v>
      </c>
      <c r="K478" s="1" t="s">
        <v>38</v>
      </c>
      <c r="L478" s="1" t="s">
        <v>23</v>
      </c>
      <c r="M478">
        <v>23</v>
      </c>
      <c r="N478">
        <v>154543</v>
      </c>
      <c r="O478">
        <v>4</v>
      </c>
      <c r="P478">
        <v>3</v>
      </c>
      <c r="Q478">
        <v>1</v>
      </c>
      <c r="R478">
        <v>14</v>
      </c>
      <c r="S478">
        <v>6</v>
      </c>
      <c r="T478">
        <v>3</v>
      </c>
      <c r="U478">
        <v>4</v>
      </c>
      <c r="V478">
        <v>8</v>
      </c>
      <c r="W478">
        <v>2</v>
      </c>
    </row>
    <row r="479" spans="1:23" x14ac:dyDescent="0.25">
      <c r="A479" s="1" t="s">
        <v>23</v>
      </c>
      <c r="B479" s="1" t="s">
        <v>24</v>
      </c>
      <c r="C479" s="1" t="s">
        <v>65</v>
      </c>
      <c r="D479" s="1" t="s">
        <v>26</v>
      </c>
      <c r="E479" s="1" t="s">
        <v>46</v>
      </c>
      <c r="F479" s="1" t="s">
        <v>52</v>
      </c>
      <c r="G479" s="1" t="s">
        <v>537</v>
      </c>
      <c r="H479">
        <v>478</v>
      </c>
      <c r="I479" s="1" t="s">
        <v>30</v>
      </c>
      <c r="J479" s="1" t="s">
        <v>43</v>
      </c>
      <c r="K479" s="1" t="s">
        <v>38</v>
      </c>
      <c r="L479" s="1" t="s">
        <v>23</v>
      </c>
      <c r="M479">
        <v>32</v>
      </c>
      <c r="N479">
        <v>133962</v>
      </c>
      <c r="O479">
        <v>1</v>
      </c>
      <c r="P479">
        <v>1</v>
      </c>
      <c r="Q479">
        <v>31</v>
      </c>
      <c r="R479">
        <v>4</v>
      </c>
      <c r="S479">
        <v>1</v>
      </c>
      <c r="T479">
        <v>1</v>
      </c>
      <c r="U479">
        <v>3</v>
      </c>
      <c r="V479">
        <v>7</v>
      </c>
      <c r="W479">
        <v>2</v>
      </c>
    </row>
    <row r="480" spans="1:23" x14ac:dyDescent="0.25">
      <c r="A480" s="1" t="s">
        <v>23</v>
      </c>
      <c r="B480" s="1" t="s">
        <v>24</v>
      </c>
      <c r="C480" s="1" t="s">
        <v>39</v>
      </c>
      <c r="D480" s="1" t="s">
        <v>26</v>
      </c>
      <c r="E480" s="1" t="s">
        <v>55</v>
      </c>
      <c r="F480" s="1" t="s">
        <v>41</v>
      </c>
      <c r="G480" s="1" t="s">
        <v>538</v>
      </c>
      <c r="H480">
        <v>479</v>
      </c>
      <c r="I480" s="1" t="s">
        <v>30</v>
      </c>
      <c r="J480" s="1" t="s">
        <v>41</v>
      </c>
      <c r="K480" s="1" t="s">
        <v>32</v>
      </c>
      <c r="L480" s="1" t="s">
        <v>23</v>
      </c>
      <c r="M480">
        <v>40</v>
      </c>
      <c r="N480">
        <v>61033</v>
      </c>
      <c r="O480">
        <v>2</v>
      </c>
      <c r="P480">
        <v>2</v>
      </c>
      <c r="Q480">
        <v>27</v>
      </c>
      <c r="R480">
        <v>11</v>
      </c>
      <c r="S480">
        <v>4</v>
      </c>
      <c r="T480">
        <v>2</v>
      </c>
      <c r="U480">
        <v>4</v>
      </c>
      <c r="V480">
        <v>10</v>
      </c>
      <c r="W480">
        <v>5</v>
      </c>
    </row>
    <row r="481" spans="1:23" x14ac:dyDescent="0.25">
      <c r="A481" s="1" t="s">
        <v>23</v>
      </c>
      <c r="B481" s="1" t="s">
        <v>44</v>
      </c>
      <c r="C481" s="1" t="s">
        <v>39</v>
      </c>
      <c r="D481" s="1" t="s">
        <v>26</v>
      </c>
      <c r="E481" s="1" t="s">
        <v>27</v>
      </c>
      <c r="F481" s="1" t="s">
        <v>66</v>
      </c>
      <c r="G481" s="1" t="s">
        <v>539</v>
      </c>
      <c r="H481">
        <v>480</v>
      </c>
      <c r="I481" s="1" t="s">
        <v>36</v>
      </c>
      <c r="J481" s="1" t="s">
        <v>41</v>
      </c>
      <c r="K481" s="1" t="s">
        <v>38</v>
      </c>
      <c r="L481" s="1" t="s">
        <v>33</v>
      </c>
      <c r="M481">
        <v>51</v>
      </c>
      <c r="N481">
        <v>133704</v>
      </c>
      <c r="O481">
        <v>4</v>
      </c>
      <c r="P481">
        <v>4</v>
      </c>
      <c r="Q481">
        <v>9</v>
      </c>
      <c r="R481">
        <v>30</v>
      </c>
      <c r="S481">
        <v>0</v>
      </c>
      <c r="T481">
        <v>4</v>
      </c>
      <c r="U481">
        <v>4</v>
      </c>
      <c r="V481">
        <v>28</v>
      </c>
      <c r="W481">
        <v>1</v>
      </c>
    </row>
    <row r="482" spans="1:23" x14ac:dyDescent="0.25">
      <c r="A482" s="1" t="s">
        <v>23</v>
      </c>
      <c r="B482" s="1" t="s">
        <v>54</v>
      </c>
      <c r="C482" s="1" t="s">
        <v>65</v>
      </c>
      <c r="D482" s="1" t="s">
        <v>26</v>
      </c>
      <c r="E482" s="1" t="s">
        <v>51</v>
      </c>
      <c r="F482" s="1" t="s">
        <v>28</v>
      </c>
      <c r="G482" s="1" t="s">
        <v>540</v>
      </c>
      <c r="H482">
        <v>481</v>
      </c>
      <c r="I482" s="1" t="s">
        <v>30</v>
      </c>
      <c r="J482" s="1" t="s">
        <v>76</v>
      </c>
      <c r="K482" s="1" t="s">
        <v>38</v>
      </c>
      <c r="L482" s="1" t="s">
        <v>23</v>
      </c>
      <c r="M482">
        <v>40</v>
      </c>
      <c r="N482">
        <v>136909</v>
      </c>
      <c r="O482">
        <v>3</v>
      </c>
      <c r="P482">
        <v>4</v>
      </c>
      <c r="Q482">
        <v>35</v>
      </c>
      <c r="R482">
        <v>38</v>
      </c>
      <c r="S482">
        <v>3</v>
      </c>
      <c r="T482">
        <v>1</v>
      </c>
      <c r="U482">
        <v>4</v>
      </c>
      <c r="V482">
        <v>5</v>
      </c>
      <c r="W482">
        <v>4</v>
      </c>
    </row>
    <row r="483" spans="1:23" x14ac:dyDescent="0.25">
      <c r="A483" s="1" t="s">
        <v>23</v>
      </c>
      <c r="B483" s="1" t="s">
        <v>24</v>
      </c>
      <c r="C483" s="1" t="s">
        <v>65</v>
      </c>
      <c r="D483" s="1" t="s">
        <v>26</v>
      </c>
      <c r="E483" s="1" t="s">
        <v>60</v>
      </c>
      <c r="F483" s="1" t="s">
        <v>41</v>
      </c>
      <c r="G483" s="1" t="s">
        <v>541</v>
      </c>
      <c r="H483">
        <v>482</v>
      </c>
      <c r="I483" s="1" t="s">
        <v>36</v>
      </c>
      <c r="J483" s="1" t="s">
        <v>86</v>
      </c>
      <c r="K483" s="1" t="s">
        <v>38</v>
      </c>
      <c r="L483" s="1" t="s">
        <v>23</v>
      </c>
      <c r="M483">
        <v>46</v>
      </c>
      <c r="N483">
        <v>115817</v>
      </c>
      <c r="O483">
        <v>4</v>
      </c>
      <c r="P483">
        <v>4</v>
      </c>
      <c r="Q483">
        <v>19</v>
      </c>
      <c r="R483">
        <v>41</v>
      </c>
      <c r="S483">
        <v>4</v>
      </c>
      <c r="T483">
        <v>1</v>
      </c>
      <c r="U483">
        <v>4</v>
      </c>
      <c r="V483">
        <v>29</v>
      </c>
      <c r="W483">
        <v>1</v>
      </c>
    </row>
    <row r="484" spans="1:23" x14ac:dyDescent="0.25">
      <c r="A484" s="1" t="s">
        <v>33</v>
      </c>
      <c r="B484" s="1" t="s">
        <v>24</v>
      </c>
      <c r="C484" s="1" t="s">
        <v>34</v>
      </c>
      <c r="D484" s="1" t="s">
        <v>73</v>
      </c>
      <c r="E484" s="1" t="s">
        <v>51</v>
      </c>
      <c r="F484" s="1" t="s">
        <v>28</v>
      </c>
      <c r="G484" s="1" t="s">
        <v>542</v>
      </c>
      <c r="H484">
        <v>483</v>
      </c>
      <c r="I484" s="1" t="s">
        <v>36</v>
      </c>
      <c r="J484" s="1" t="s">
        <v>76</v>
      </c>
      <c r="K484" s="1" t="s">
        <v>32</v>
      </c>
      <c r="L484" s="1" t="s">
        <v>23</v>
      </c>
      <c r="M484">
        <v>53</v>
      </c>
      <c r="N484">
        <v>146089</v>
      </c>
      <c r="O484">
        <v>3</v>
      </c>
      <c r="P484">
        <v>1</v>
      </c>
      <c r="Q484">
        <v>24</v>
      </c>
      <c r="R484">
        <v>27</v>
      </c>
      <c r="S484">
        <v>5</v>
      </c>
      <c r="T484">
        <v>2</v>
      </c>
      <c r="U484">
        <v>3</v>
      </c>
      <c r="V484">
        <v>16</v>
      </c>
      <c r="W484">
        <v>1</v>
      </c>
    </row>
    <row r="485" spans="1:23" x14ac:dyDescent="0.25">
      <c r="A485" s="1" t="s">
        <v>33</v>
      </c>
      <c r="B485" s="1" t="s">
        <v>54</v>
      </c>
      <c r="C485" s="1" t="s">
        <v>34</v>
      </c>
      <c r="D485" s="1" t="s">
        <v>73</v>
      </c>
      <c r="E485" s="1" t="s">
        <v>46</v>
      </c>
      <c r="F485" s="1" t="s">
        <v>66</v>
      </c>
      <c r="G485" s="1" t="s">
        <v>543</v>
      </c>
      <c r="H485">
        <v>484</v>
      </c>
      <c r="I485" s="1" t="s">
        <v>30</v>
      </c>
      <c r="J485" s="1" t="s">
        <v>76</v>
      </c>
      <c r="K485" s="1" t="s">
        <v>32</v>
      </c>
      <c r="L485" s="1" t="s">
        <v>23</v>
      </c>
      <c r="M485">
        <v>30</v>
      </c>
      <c r="N485">
        <v>84660</v>
      </c>
      <c r="O485">
        <v>2</v>
      </c>
      <c r="P485">
        <v>2</v>
      </c>
      <c r="Q485">
        <v>0</v>
      </c>
      <c r="R485">
        <v>7</v>
      </c>
      <c r="S485">
        <v>6</v>
      </c>
      <c r="T485">
        <v>1</v>
      </c>
      <c r="U485">
        <v>4</v>
      </c>
      <c r="V485">
        <v>13</v>
      </c>
      <c r="W485">
        <v>5</v>
      </c>
    </row>
    <row r="486" spans="1:23" x14ac:dyDescent="0.25">
      <c r="A486" s="1" t="s">
        <v>33</v>
      </c>
      <c r="B486" s="1" t="s">
        <v>44</v>
      </c>
      <c r="C486" s="1" t="s">
        <v>25</v>
      </c>
      <c r="D486" s="1" t="s">
        <v>73</v>
      </c>
      <c r="E486" s="1" t="s">
        <v>55</v>
      </c>
      <c r="F486" s="1" t="s">
        <v>28</v>
      </c>
      <c r="G486" s="1" t="s">
        <v>544</v>
      </c>
      <c r="H486">
        <v>485</v>
      </c>
      <c r="I486" s="1" t="s">
        <v>36</v>
      </c>
      <c r="J486" s="1" t="s">
        <v>76</v>
      </c>
      <c r="K486" s="1" t="s">
        <v>32</v>
      </c>
      <c r="L486" s="1" t="s">
        <v>23</v>
      </c>
      <c r="M486">
        <v>53</v>
      </c>
      <c r="N486">
        <v>157775</v>
      </c>
      <c r="O486">
        <v>4</v>
      </c>
      <c r="P486">
        <v>3</v>
      </c>
      <c r="Q486">
        <v>26</v>
      </c>
      <c r="R486">
        <v>5</v>
      </c>
      <c r="S486">
        <v>0</v>
      </c>
      <c r="T486">
        <v>3</v>
      </c>
      <c r="U486">
        <v>3</v>
      </c>
      <c r="V486">
        <v>9</v>
      </c>
      <c r="W486">
        <v>2</v>
      </c>
    </row>
    <row r="487" spans="1:23" x14ac:dyDescent="0.25">
      <c r="A487" s="1" t="s">
        <v>33</v>
      </c>
      <c r="B487" s="1" t="s">
        <v>24</v>
      </c>
      <c r="C487" s="1" t="s">
        <v>34</v>
      </c>
      <c r="D487" s="1" t="s">
        <v>73</v>
      </c>
      <c r="E487" s="1" t="s">
        <v>27</v>
      </c>
      <c r="F487" s="1" t="s">
        <v>28</v>
      </c>
      <c r="G487" s="1" t="s">
        <v>545</v>
      </c>
      <c r="H487">
        <v>486</v>
      </c>
      <c r="I487" s="1" t="s">
        <v>36</v>
      </c>
      <c r="J487" s="1" t="s">
        <v>64</v>
      </c>
      <c r="K487" s="1" t="s">
        <v>50</v>
      </c>
      <c r="L487" s="1" t="s">
        <v>33</v>
      </c>
      <c r="M487">
        <v>47</v>
      </c>
      <c r="N487">
        <v>155615</v>
      </c>
      <c r="O487">
        <v>4</v>
      </c>
      <c r="P487">
        <v>3</v>
      </c>
      <c r="Q487">
        <v>27</v>
      </c>
      <c r="R487">
        <v>10</v>
      </c>
      <c r="S487">
        <v>1</v>
      </c>
      <c r="T487">
        <v>3</v>
      </c>
      <c r="U487">
        <v>3</v>
      </c>
      <c r="V487">
        <v>23</v>
      </c>
      <c r="W487">
        <v>2</v>
      </c>
    </row>
    <row r="488" spans="1:23" x14ac:dyDescent="0.25">
      <c r="A488" s="1" t="s">
        <v>23</v>
      </c>
      <c r="B488" s="1" t="s">
        <v>44</v>
      </c>
      <c r="C488" s="1" t="s">
        <v>34</v>
      </c>
      <c r="D488" s="1" t="s">
        <v>26</v>
      </c>
      <c r="E488" s="1" t="s">
        <v>60</v>
      </c>
      <c r="F488" s="1" t="s">
        <v>41</v>
      </c>
      <c r="G488" s="1" t="s">
        <v>546</v>
      </c>
      <c r="H488">
        <v>487</v>
      </c>
      <c r="I488" s="1" t="s">
        <v>30</v>
      </c>
      <c r="J488" s="1" t="s">
        <v>70</v>
      </c>
      <c r="K488" s="1" t="s">
        <v>50</v>
      </c>
      <c r="L488" s="1" t="s">
        <v>33</v>
      </c>
      <c r="M488">
        <v>32</v>
      </c>
      <c r="N488">
        <v>68301</v>
      </c>
      <c r="O488">
        <v>3</v>
      </c>
      <c r="P488">
        <v>4</v>
      </c>
      <c r="Q488">
        <v>28</v>
      </c>
      <c r="R488">
        <v>40</v>
      </c>
      <c r="S488">
        <v>4</v>
      </c>
      <c r="T488">
        <v>1</v>
      </c>
      <c r="U488">
        <v>3</v>
      </c>
      <c r="V488">
        <v>3</v>
      </c>
      <c r="W488">
        <v>3</v>
      </c>
    </row>
    <row r="489" spans="1:23" x14ac:dyDescent="0.25">
      <c r="A489" s="1" t="s">
        <v>23</v>
      </c>
      <c r="B489" s="1" t="s">
        <v>44</v>
      </c>
      <c r="C489" s="1" t="s">
        <v>34</v>
      </c>
      <c r="D489" s="1" t="s">
        <v>26</v>
      </c>
      <c r="E489" s="1" t="s">
        <v>60</v>
      </c>
      <c r="F489" s="1" t="s">
        <v>66</v>
      </c>
      <c r="G489" s="1" t="s">
        <v>547</v>
      </c>
      <c r="H489">
        <v>488</v>
      </c>
      <c r="I489" s="1" t="s">
        <v>30</v>
      </c>
      <c r="J489" s="1" t="s">
        <v>86</v>
      </c>
      <c r="K489" s="1" t="s">
        <v>38</v>
      </c>
      <c r="L489" s="1" t="s">
        <v>33</v>
      </c>
      <c r="M489">
        <v>21</v>
      </c>
      <c r="N489">
        <v>34005</v>
      </c>
      <c r="O489">
        <v>3</v>
      </c>
      <c r="P489">
        <v>1</v>
      </c>
      <c r="Q489">
        <v>37</v>
      </c>
      <c r="R489">
        <v>2</v>
      </c>
      <c r="S489">
        <v>0</v>
      </c>
      <c r="T489">
        <v>2</v>
      </c>
      <c r="U489">
        <v>3</v>
      </c>
      <c r="V489">
        <v>13</v>
      </c>
      <c r="W489">
        <v>5</v>
      </c>
    </row>
    <row r="490" spans="1:23" x14ac:dyDescent="0.25">
      <c r="A490" s="1" t="s">
        <v>23</v>
      </c>
      <c r="B490" s="1" t="s">
        <v>44</v>
      </c>
      <c r="C490" s="1" t="s">
        <v>57</v>
      </c>
      <c r="D490" s="1" t="s">
        <v>26</v>
      </c>
      <c r="E490" s="1" t="s">
        <v>27</v>
      </c>
      <c r="F490" s="1" t="s">
        <v>68</v>
      </c>
      <c r="G490" s="1" t="s">
        <v>548</v>
      </c>
      <c r="H490">
        <v>489</v>
      </c>
      <c r="I490" s="1" t="s">
        <v>36</v>
      </c>
      <c r="J490" s="1" t="s">
        <v>43</v>
      </c>
      <c r="K490" s="1" t="s">
        <v>38</v>
      </c>
      <c r="L490" s="1" t="s">
        <v>23</v>
      </c>
      <c r="M490">
        <v>44</v>
      </c>
      <c r="N490">
        <v>107935</v>
      </c>
      <c r="O490">
        <v>3</v>
      </c>
      <c r="P490">
        <v>2</v>
      </c>
      <c r="Q490">
        <v>23</v>
      </c>
      <c r="R490">
        <v>42</v>
      </c>
      <c r="S490">
        <v>3</v>
      </c>
      <c r="T490">
        <v>4</v>
      </c>
      <c r="U490">
        <v>3</v>
      </c>
      <c r="V490">
        <v>12</v>
      </c>
      <c r="W490">
        <v>3</v>
      </c>
    </row>
    <row r="491" spans="1:23" x14ac:dyDescent="0.25">
      <c r="A491" s="1" t="s">
        <v>23</v>
      </c>
      <c r="B491" s="1" t="s">
        <v>44</v>
      </c>
      <c r="C491" s="1" t="s">
        <v>25</v>
      </c>
      <c r="D491" s="1" t="s">
        <v>26</v>
      </c>
      <c r="E491" s="1" t="s">
        <v>46</v>
      </c>
      <c r="F491" s="1" t="s">
        <v>52</v>
      </c>
      <c r="G491" s="1" t="s">
        <v>549</v>
      </c>
      <c r="H491">
        <v>490</v>
      </c>
      <c r="I491" s="1" t="s">
        <v>30</v>
      </c>
      <c r="J491" s="1" t="s">
        <v>64</v>
      </c>
      <c r="K491" s="1" t="s">
        <v>32</v>
      </c>
      <c r="L491" s="1" t="s">
        <v>33</v>
      </c>
      <c r="M491">
        <v>54</v>
      </c>
      <c r="N491">
        <v>91260</v>
      </c>
      <c r="O491">
        <v>2</v>
      </c>
      <c r="P491">
        <v>3</v>
      </c>
      <c r="Q491">
        <v>28</v>
      </c>
      <c r="R491">
        <v>39</v>
      </c>
      <c r="S491">
        <v>5</v>
      </c>
      <c r="T491">
        <v>4</v>
      </c>
      <c r="U491">
        <v>4</v>
      </c>
      <c r="V491">
        <v>22</v>
      </c>
      <c r="W491">
        <v>2</v>
      </c>
    </row>
    <row r="492" spans="1:23" x14ac:dyDescent="0.25">
      <c r="A492" s="1" t="s">
        <v>23</v>
      </c>
      <c r="B492" s="1" t="s">
        <v>24</v>
      </c>
      <c r="C492" s="1" t="s">
        <v>39</v>
      </c>
      <c r="D492" s="1" t="s">
        <v>26</v>
      </c>
      <c r="E492" s="1" t="s">
        <v>27</v>
      </c>
      <c r="F492" s="1" t="s">
        <v>52</v>
      </c>
      <c r="G492" s="1" t="s">
        <v>550</v>
      </c>
      <c r="H492">
        <v>491</v>
      </c>
      <c r="I492" s="1" t="s">
        <v>36</v>
      </c>
      <c r="J492" s="1" t="s">
        <v>64</v>
      </c>
      <c r="K492" s="1" t="s">
        <v>32</v>
      </c>
      <c r="L492" s="1" t="s">
        <v>23</v>
      </c>
      <c r="M492">
        <v>49</v>
      </c>
      <c r="N492">
        <v>79225</v>
      </c>
      <c r="O492">
        <v>4</v>
      </c>
      <c r="P492">
        <v>4</v>
      </c>
      <c r="Q492">
        <v>39</v>
      </c>
      <c r="R492">
        <v>5</v>
      </c>
      <c r="S492">
        <v>2</v>
      </c>
      <c r="T492">
        <v>4</v>
      </c>
      <c r="U492">
        <v>4</v>
      </c>
      <c r="V492">
        <v>22</v>
      </c>
      <c r="W492">
        <v>1</v>
      </c>
    </row>
    <row r="493" spans="1:23" x14ac:dyDescent="0.25">
      <c r="A493" s="1" t="s">
        <v>23</v>
      </c>
      <c r="B493" s="1" t="s">
        <v>54</v>
      </c>
      <c r="C493" s="1" t="s">
        <v>34</v>
      </c>
      <c r="D493" s="1" t="s">
        <v>26</v>
      </c>
      <c r="E493" s="1" t="s">
        <v>55</v>
      </c>
      <c r="F493" s="1" t="s">
        <v>28</v>
      </c>
      <c r="G493" s="1" t="s">
        <v>551</v>
      </c>
      <c r="H493">
        <v>492</v>
      </c>
      <c r="I493" s="1" t="s">
        <v>30</v>
      </c>
      <c r="J493" s="1" t="s">
        <v>70</v>
      </c>
      <c r="K493" s="1" t="s">
        <v>38</v>
      </c>
      <c r="L493" s="1" t="s">
        <v>33</v>
      </c>
      <c r="M493">
        <v>40</v>
      </c>
      <c r="N493">
        <v>161850</v>
      </c>
      <c r="O493">
        <v>4</v>
      </c>
      <c r="P493">
        <v>2</v>
      </c>
      <c r="Q493">
        <v>28</v>
      </c>
      <c r="R493">
        <v>7</v>
      </c>
      <c r="S493">
        <v>3</v>
      </c>
      <c r="T493">
        <v>2</v>
      </c>
      <c r="U493">
        <v>3</v>
      </c>
      <c r="V493">
        <v>7</v>
      </c>
      <c r="W493">
        <v>2</v>
      </c>
    </row>
    <row r="494" spans="1:23" x14ac:dyDescent="0.25">
      <c r="A494" s="1" t="s">
        <v>23</v>
      </c>
      <c r="B494" s="1" t="s">
        <v>24</v>
      </c>
      <c r="C494" s="1" t="s">
        <v>39</v>
      </c>
      <c r="D494" s="1" t="s">
        <v>26</v>
      </c>
      <c r="E494" s="1" t="s">
        <v>60</v>
      </c>
      <c r="F494" s="1" t="s">
        <v>68</v>
      </c>
      <c r="G494" s="1" t="s">
        <v>552</v>
      </c>
      <c r="H494">
        <v>493</v>
      </c>
      <c r="I494" s="1" t="s">
        <v>30</v>
      </c>
      <c r="J494" s="1" t="s">
        <v>70</v>
      </c>
      <c r="K494" s="1" t="s">
        <v>38</v>
      </c>
      <c r="L494" s="1" t="s">
        <v>23</v>
      </c>
      <c r="M494">
        <v>38</v>
      </c>
      <c r="N494">
        <v>75770</v>
      </c>
      <c r="O494">
        <v>3</v>
      </c>
      <c r="P494">
        <v>4</v>
      </c>
      <c r="Q494">
        <v>7</v>
      </c>
      <c r="R494">
        <v>42</v>
      </c>
      <c r="S494">
        <v>1</v>
      </c>
      <c r="T494">
        <v>4</v>
      </c>
      <c r="U494">
        <v>3</v>
      </c>
      <c r="V494">
        <v>26</v>
      </c>
      <c r="W494">
        <v>3</v>
      </c>
    </row>
    <row r="495" spans="1:23" x14ac:dyDescent="0.25">
      <c r="A495" s="1" t="s">
        <v>33</v>
      </c>
      <c r="B495" s="1" t="s">
        <v>24</v>
      </c>
      <c r="C495" s="1" t="s">
        <v>65</v>
      </c>
      <c r="D495" s="1" t="s">
        <v>73</v>
      </c>
      <c r="E495" s="1" t="s">
        <v>51</v>
      </c>
      <c r="F495" s="1" t="s">
        <v>52</v>
      </c>
      <c r="G495" s="1" t="s">
        <v>553</v>
      </c>
      <c r="H495">
        <v>494</v>
      </c>
      <c r="I495" s="1" t="s">
        <v>36</v>
      </c>
      <c r="J495" s="1" t="s">
        <v>41</v>
      </c>
      <c r="K495" s="1" t="s">
        <v>32</v>
      </c>
      <c r="L495" s="1" t="s">
        <v>23</v>
      </c>
      <c r="M495">
        <v>56</v>
      </c>
      <c r="N495">
        <v>132547</v>
      </c>
      <c r="O495">
        <v>2</v>
      </c>
      <c r="P495">
        <v>2</v>
      </c>
      <c r="Q495">
        <v>16</v>
      </c>
      <c r="R495">
        <v>7</v>
      </c>
      <c r="S495">
        <v>2</v>
      </c>
      <c r="T495">
        <v>1</v>
      </c>
      <c r="U495">
        <v>3</v>
      </c>
      <c r="V495">
        <v>3</v>
      </c>
      <c r="W495">
        <v>3</v>
      </c>
    </row>
    <row r="496" spans="1:23" x14ac:dyDescent="0.25">
      <c r="A496" s="1" t="s">
        <v>23</v>
      </c>
      <c r="B496" s="1" t="s">
        <v>24</v>
      </c>
      <c r="C496" s="1" t="s">
        <v>65</v>
      </c>
      <c r="D496" s="1" t="s">
        <v>26</v>
      </c>
      <c r="E496" s="1" t="s">
        <v>46</v>
      </c>
      <c r="F496" s="1" t="s">
        <v>41</v>
      </c>
      <c r="G496" s="1" t="s">
        <v>554</v>
      </c>
      <c r="H496">
        <v>495</v>
      </c>
      <c r="I496" s="1" t="s">
        <v>36</v>
      </c>
      <c r="J496" s="1" t="s">
        <v>70</v>
      </c>
      <c r="K496" s="1" t="s">
        <v>38</v>
      </c>
      <c r="L496" s="1" t="s">
        <v>23</v>
      </c>
      <c r="M496">
        <v>57</v>
      </c>
      <c r="N496">
        <v>18440</v>
      </c>
      <c r="O496">
        <v>3</v>
      </c>
      <c r="P496">
        <v>1</v>
      </c>
      <c r="Q496">
        <v>37</v>
      </c>
      <c r="R496">
        <v>34</v>
      </c>
      <c r="S496">
        <v>1</v>
      </c>
      <c r="T496">
        <v>4</v>
      </c>
      <c r="U496">
        <v>4</v>
      </c>
      <c r="V496">
        <v>11</v>
      </c>
      <c r="W496">
        <v>3</v>
      </c>
    </row>
    <row r="497" spans="1:23" x14ac:dyDescent="0.25">
      <c r="A497" s="1" t="s">
        <v>23</v>
      </c>
      <c r="B497" s="1" t="s">
        <v>54</v>
      </c>
      <c r="C497" s="1" t="s">
        <v>65</v>
      </c>
      <c r="D497" s="1" t="s">
        <v>26</v>
      </c>
      <c r="E497" s="1" t="s">
        <v>55</v>
      </c>
      <c r="F497" s="1" t="s">
        <v>52</v>
      </c>
      <c r="G497" s="1" t="s">
        <v>555</v>
      </c>
      <c r="H497">
        <v>496</v>
      </c>
      <c r="I497" s="1" t="s">
        <v>30</v>
      </c>
      <c r="J497" s="1" t="s">
        <v>31</v>
      </c>
      <c r="K497" s="1" t="s">
        <v>38</v>
      </c>
      <c r="L497" s="1" t="s">
        <v>33</v>
      </c>
      <c r="M497">
        <v>55</v>
      </c>
      <c r="N497">
        <v>138744</v>
      </c>
      <c r="O497">
        <v>3</v>
      </c>
      <c r="P497">
        <v>2</v>
      </c>
      <c r="Q497">
        <v>18</v>
      </c>
      <c r="R497">
        <v>14</v>
      </c>
      <c r="S497">
        <v>3</v>
      </c>
      <c r="T497">
        <v>4</v>
      </c>
      <c r="U497">
        <v>3</v>
      </c>
      <c r="V497">
        <v>20</v>
      </c>
      <c r="W497">
        <v>3</v>
      </c>
    </row>
    <row r="498" spans="1:23" x14ac:dyDescent="0.25">
      <c r="A498" s="1" t="s">
        <v>23</v>
      </c>
      <c r="B498" s="1" t="s">
        <v>24</v>
      </c>
      <c r="C498" s="1" t="s">
        <v>39</v>
      </c>
      <c r="D498" s="1" t="s">
        <v>26</v>
      </c>
      <c r="E498" s="1" t="s">
        <v>46</v>
      </c>
      <c r="F498" s="1" t="s">
        <v>41</v>
      </c>
      <c r="G498" s="1" t="s">
        <v>556</v>
      </c>
      <c r="H498">
        <v>497</v>
      </c>
      <c r="I498" s="1" t="s">
        <v>36</v>
      </c>
      <c r="J498" s="1" t="s">
        <v>76</v>
      </c>
      <c r="K498" s="1" t="s">
        <v>32</v>
      </c>
      <c r="L498" s="1" t="s">
        <v>33</v>
      </c>
      <c r="M498">
        <v>38</v>
      </c>
      <c r="N498">
        <v>168463</v>
      </c>
      <c r="O498">
        <v>4</v>
      </c>
      <c r="P498">
        <v>2</v>
      </c>
      <c r="Q498">
        <v>31</v>
      </c>
      <c r="R498">
        <v>18</v>
      </c>
      <c r="S498">
        <v>5</v>
      </c>
      <c r="T498">
        <v>4</v>
      </c>
      <c r="U498">
        <v>3</v>
      </c>
      <c r="V498">
        <v>26</v>
      </c>
      <c r="W498">
        <v>3</v>
      </c>
    </row>
    <row r="499" spans="1:23" x14ac:dyDescent="0.25">
      <c r="A499" s="1" t="s">
        <v>23</v>
      </c>
      <c r="B499" s="1" t="s">
        <v>24</v>
      </c>
      <c r="C499" s="1" t="s">
        <v>39</v>
      </c>
      <c r="D499" s="1" t="s">
        <v>26</v>
      </c>
      <c r="E499" s="1" t="s">
        <v>46</v>
      </c>
      <c r="F499" s="1" t="s">
        <v>52</v>
      </c>
      <c r="G499" s="1" t="s">
        <v>557</v>
      </c>
      <c r="H499">
        <v>498</v>
      </c>
      <c r="I499" s="1" t="s">
        <v>30</v>
      </c>
      <c r="J499" s="1" t="s">
        <v>70</v>
      </c>
      <c r="K499" s="1" t="s">
        <v>38</v>
      </c>
      <c r="L499" s="1" t="s">
        <v>23</v>
      </c>
      <c r="M499">
        <v>40</v>
      </c>
      <c r="N499">
        <v>59731</v>
      </c>
      <c r="O499">
        <v>1</v>
      </c>
      <c r="P499">
        <v>4</v>
      </c>
      <c r="Q499">
        <v>21</v>
      </c>
      <c r="R499">
        <v>27</v>
      </c>
      <c r="S499">
        <v>5</v>
      </c>
      <c r="T499">
        <v>4</v>
      </c>
      <c r="U499">
        <v>4</v>
      </c>
      <c r="V499">
        <v>25</v>
      </c>
      <c r="W499">
        <v>4</v>
      </c>
    </row>
    <row r="500" spans="1:23" x14ac:dyDescent="0.25">
      <c r="A500" s="1" t="s">
        <v>23</v>
      </c>
      <c r="B500" s="1" t="s">
        <v>44</v>
      </c>
      <c r="C500" s="1" t="s">
        <v>39</v>
      </c>
      <c r="D500" s="1" t="s">
        <v>26</v>
      </c>
      <c r="E500" s="1" t="s">
        <v>27</v>
      </c>
      <c r="F500" s="1" t="s">
        <v>52</v>
      </c>
      <c r="G500" s="1" t="s">
        <v>558</v>
      </c>
      <c r="H500">
        <v>499</v>
      </c>
      <c r="I500" s="1" t="s">
        <v>30</v>
      </c>
      <c r="J500" s="1" t="s">
        <v>59</v>
      </c>
      <c r="K500" s="1" t="s">
        <v>38</v>
      </c>
      <c r="L500" s="1" t="s">
        <v>33</v>
      </c>
      <c r="M500">
        <v>29</v>
      </c>
      <c r="N500">
        <v>102782</v>
      </c>
      <c r="O500">
        <v>1</v>
      </c>
      <c r="P500">
        <v>3</v>
      </c>
      <c r="Q500">
        <v>29</v>
      </c>
      <c r="R500">
        <v>41</v>
      </c>
      <c r="S500">
        <v>1</v>
      </c>
      <c r="T500">
        <v>2</v>
      </c>
      <c r="U500">
        <v>4</v>
      </c>
      <c r="V500">
        <v>23</v>
      </c>
      <c r="W500">
        <v>4</v>
      </c>
    </row>
    <row r="501" spans="1:23" x14ac:dyDescent="0.25">
      <c r="A501" s="1" t="s">
        <v>23</v>
      </c>
      <c r="B501" s="1" t="s">
        <v>54</v>
      </c>
      <c r="C501" s="1" t="s">
        <v>34</v>
      </c>
      <c r="D501" s="1" t="s">
        <v>26</v>
      </c>
      <c r="E501" s="1" t="s">
        <v>55</v>
      </c>
      <c r="F501" s="1" t="s">
        <v>28</v>
      </c>
      <c r="G501" s="1" t="s">
        <v>559</v>
      </c>
      <c r="H501">
        <v>500</v>
      </c>
      <c r="I501" s="1" t="s">
        <v>30</v>
      </c>
      <c r="J501" s="1" t="s">
        <v>37</v>
      </c>
      <c r="K501" s="1" t="s">
        <v>32</v>
      </c>
      <c r="L501" s="1" t="s">
        <v>33</v>
      </c>
      <c r="M501">
        <v>30</v>
      </c>
      <c r="N501">
        <v>116711</v>
      </c>
      <c r="O501">
        <v>4</v>
      </c>
      <c r="P501">
        <v>2</v>
      </c>
      <c r="Q501">
        <v>3</v>
      </c>
      <c r="R501">
        <v>6</v>
      </c>
      <c r="S501">
        <v>2</v>
      </c>
      <c r="T501">
        <v>4</v>
      </c>
      <c r="U501">
        <v>3</v>
      </c>
      <c r="V501">
        <v>2</v>
      </c>
      <c r="W501">
        <v>1</v>
      </c>
    </row>
    <row r="502" spans="1:23" x14ac:dyDescent="0.25">
      <c r="A502" s="1" t="s">
        <v>33</v>
      </c>
      <c r="B502" s="1" t="s">
        <v>44</v>
      </c>
      <c r="C502" s="1" t="s">
        <v>39</v>
      </c>
      <c r="D502" s="1" t="s">
        <v>73</v>
      </c>
      <c r="E502" s="1" t="s">
        <v>51</v>
      </c>
      <c r="F502" s="1" t="s">
        <v>28</v>
      </c>
      <c r="G502" s="1" t="s">
        <v>560</v>
      </c>
      <c r="H502">
        <v>501</v>
      </c>
      <c r="I502" s="1" t="s">
        <v>36</v>
      </c>
      <c r="J502" s="1" t="s">
        <v>48</v>
      </c>
      <c r="K502" s="1" t="s">
        <v>50</v>
      </c>
      <c r="L502" s="1" t="s">
        <v>33</v>
      </c>
      <c r="M502">
        <v>36</v>
      </c>
      <c r="N502">
        <v>121978</v>
      </c>
      <c r="O502">
        <v>4</v>
      </c>
      <c r="P502">
        <v>3</v>
      </c>
      <c r="Q502">
        <v>38</v>
      </c>
      <c r="R502">
        <v>11</v>
      </c>
      <c r="S502">
        <v>5</v>
      </c>
      <c r="T502">
        <v>4</v>
      </c>
      <c r="U502">
        <v>3</v>
      </c>
      <c r="V502">
        <v>25</v>
      </c>
      <c r="W502">
        <v>4</v>
      </c>
    </row>
    <row r="503" spans="1:23" x14ac:dyDescent="0.25">
      <c r="A503" s="1" t="s">
        <v>33</v>
      </c>
      <c r="B503" s="1" t="s">
        <v>54</v>
      </c>
      <c r="C503" s="1" t="s">
        <v>39</v>
      </c>
      <c r="D503" s="1" t="s">
        <v>73</v>
      </c>
      <c r="E503" s="1" t="s">
        <v>27</v>
      </c>
      <c r="F503" s="1" t="s">
        <v>52</v>
      </c>
      <c r="G503" s="1" t="s">
        <v>561</v>
      </c>
      <c r="H503">
        <v>502</v>
      </c>
      <c r="I503" s="1" t="s">
        <v>36</v>
      </c>
      <c r="J503" s="1" t="s">
        <v>37</v>
      </c>
      <c r="K503" s="1" t="s">
        <v>50</v>
      </c>
      <c r="L503" s="1" t="s">
        <v>33</v>
      </c>
      <c r="M503">
        <v>28</v>
      </c>
      <c r="N503">
        <v>39662</v>
      </c>
      <c r="O503">
        <v>1</v>
      </c>
      <c r="P503">
        <v>4</v>
      </c>
      <c r="Q503">
        <v>32</v>
      </c>
      <c r="R503">
        <v>14</v>
      </c>
      <c r="S503">
        <v>0</v>
      </c>
      <c r="T503">
        <v>4</v>
      </c>
      <c r="U503">
        <v>4</v>
      </c>
      <c r="V503">
        <v>23</v>
      </c>
      <c r="W503">
        <v>1</v>
      </c>
    </row>
    <row r="504" spans="1:23" x14ac:dyDescent="0.25">
      <c r="A504" s="1" t="s">
        <v>23</v>
      </c>
      <c r="B504" s="1" t="s">
        <v>54</v>
      </c>
      <c r="C504" s="1" t="s">
        <v>34</v>
      </c>
      <c r="D504" s="1" t="s">
        <v>26</v>
      </c>
      <c r="E504" s="1" t="s">
        <v>40</v>
      </c>
      <c r="F504" s="1" t="s">
        <v>52</v>
      </c>
      <c r="G504" s="1" t="s">
        <v>562</v>
      </c>
      <c r="H504">
        <v>503</v>
      </c>
      <c r="I504" s="1" t="s">
        <v>36</v>
      </c>
      <c r="J504" s="1" t="s">
        <v>76</v>
      </c>
      <c r="K504" s="1" t="s">
        <v>32</v>
      </c>
      <c r="L504" s="1" t="s">
        <v>33</v>
      </c>
      <c r="M504">
        <v>27</v>
      </c>
      <c r="N504">
        <v>103256</v>
      </c>
      <c r="O504">
        <v>1</v>
      </c>
      <c r="P504">
        <v>2</v>
      </c>
      <c r="Q504">
        <v>25</v>
      </c>
      <c r="R504">
        <v>1</v>
      </c>
      <c r="S504">
        <v>3</v>
      </c>
      <c r="T504">
        <v>4</v>
      </c>
      <c r="U504">
        <v>3</v>
      </c>
      <c r="V504">
        <v>17</v>
      </c>
      <c r="W504">
        <v>5</v>
      </c>
    </row>
    <row r="505" spans="1:23" x14ac:dyDescent="0.25">
      <c r="A505" s="1" t="s">
        <v>23</v>
      </c>
      <c r="B505" s="1" t="s">
        <v>24</v>
      </c>
      <c r="C505" s="1" t="s">
        <v>65</v>
      </c>
      <c r="D505" s="1" t="s">
        <v>26</v>
      </c>
      <c r="E505" s="1" t="s">
        <v>46</v>
      </c>
      <c r="F505" s="1" t="s">
        <v>28</v>
      </c>
      <c r="G505" s="1" t="s">
        <v>563</v>
      </c>
      <c r="H505">
        <v>504</v>
      </c>
      <c r="I505" s="1" t="s">
        <v>30</v>
      </c>
      <c r="J505" s="1" t="s">
        <v>70</v>
      </c>
      <c r="K505" s="1" t="s">
        <v>32</v>
      </c>
      <c r="L505" s="1" t="s">
        <v>33</v>
      </c>
      <c r="M505">
        <v>21</v>
      </c>
      <c r="N505">
        <v>163416</v>
      </c>
      <c r="O505">
        <v>4</v>
      </c>
      <c r="P505">
        <v>3</v>
      </c>
      <c r="Q505">
        <v>7</v>
      </c>
      <c r="R505">
        <v>2</v>
      </c>
      <c r="S505">
        <v>1</v>
      </c>
      <c r="T505">
        <v>2</v>
      </c>
      <c r="U505">
        <v>3</v>
      </c>
      <c r="V505">
        <v>3</v>
      </c>
      <c r="W505">
        <v>5</v>
      </c>
    </row>
    <row r="506" spans="1:23" x14ac:dyDescent="0.25">
      <c r="A506" s="1" t="s">
        <v>23</v>
      </c>
      <c r="B506" s="1" t="s">
        <v>24</v>
      </c>
      <c r="C506" s="1" t="s">
        <v>65</v>
      </c>
      <c r="D506" s="1" t="s">
        <v>26</v>
      </c>
      <c r="E506" s="1" t="s">
        <v>60</v>
      </c>
      <c r="F506" s="1" t="s">
        <v>41</v>
      </c>
      <c r="G506" s="1" t="s">
        <v>564</v>
      </c>
      <c r="H506">
        <v>505</v>
      </c>
      <c r="I506" s="1" t="s">
        <v>36</v>
      </c>
      <c r="J506" s="1" t="s">
        <v>37</v>
      </c>
      <c r="K506" s="1" t="s">
        <v>32</v>
      </c>
      <c r="L506" s="1" t="s">
        <v>33</v>
      </c>
      <c r="M506">
        <v>48</v>
      </c>
      <c r="N506">
        <v>18022</v>
      </c>
      <c r="O506">
        <v>2</v>
      </c>
      <c r="P506">
        <v>3</v>
      </c>
      <c r="Q506">
        <v>2</v>
      </c>
      <c r="R506">
        <v>33</v>
      </c>
      <c r="S506">
        <v>6</v>
      </c>
      <c r="T506">
        <v>3</v>
      </c>
      <c r="U506">
        <v>4</v>
      </c>
      <c r="V506">
        <v>5</v>
      </c>
      <c r="W506">
        <v>5</v>
      </c>
    </row>
    <row r="507" spans="1:23" x14ac:dyDescent="0.25">
      <c r="A507" s="1" t="s">
        <v>23</v>
      </c>
      <c r="B507" s="1" t="s">
        <v>54</v>
      </c>
      <c r="C507" s="1" t="s">
        <v>34</v>
      </c>
      <c r="D507" s="1" t="s">
        <v>26</v>
      </c>
      <c r="E507" s="1" t="s">
        <v>27</v>
      </c>
      <c r="F507" s="1" t="s">
        <v>41</v>
      </c>
      <c r="G507" s="1" t="s">
        <v>565</v>
      </c>
      <c r="H507">
        <v>506</v>
      </c>
      <c r="I507" s="1" t="s">
        <v>30</v>
      </c>
      <c r="J507" s="1" t="s">
        <v>31</v>
      </c>
      <c r="K507" s="1" t="s">
        <v>32</v>
      </c>
      <c r="L507" s="1" t="s">
        <v>33</v>
      </c>
      <c r="M507">
        <v>36</v>
      </c>
      <c r="N507">
        <v>27629</v>
      </c>
      <c r="O507">
        <v>2</v>
      </c>
      <c r="P507">
        <v>2</v>
      </c>
      <c r="Q507">
        <v>19</v>
      </c>
      <c r="R507">
        <v>13</v>
      </c>
      <c r="S507">
        <v>1</v>
      </c>
      <c r="T507">
        <v>2</v>
      </c>
      <c r="U507">
        <v>4</v>
      </c>
      <c r="V507">
        <v>9</v>
      </c>
      <c r="W507">
        <v>2</v>
      </c>
    </row>
    <row r="508" spans="1:23" x14ac:dyDescent="0.25">
      <c r="A508" s="1" t="s">
        <v>23</v>
      </c>
      <c r="B508" s="1" t="s">
        <v>44</v>
      </c>
      <c r="C508" s="1" t="s">
        <v>34</v>
      </c>
      <c r="D508" s="1" t="s">
        <v>26</v>
      </c>
      <c r="E508" s="1" t="s">
        <v>51</v>
      </c>
      <c r="F508" s="1" t="s">
        <v>46</v>
      </c>
      <c r="G508" s="1" t="s">
        <v>566</v>
      </c>
      <c r="H508">
        <v>507</v>
      </c>
      <c r="I508" s="1" t="s">
        <v>36</v>
      </c>
      <c r="J508" s="1" t="s">
        <v>70</v>
      </c>
      <c r="K508" s="1" t="s">
        <v>38</v>
      </c>
      <c r="L508" s="1" t="s">
        <v>23</v>
      </c>
      <c r="M508">
        <v>26</v>
      </c>
      <c r="N508">
        <v>84631</v>
      </c>
      <c r="O508">
        <v>4</v>
      </c>
      <c r="P508">
        <v>2</v>
      </c>
      <c r="Q508">
        <v>34</v>
      </c>
      <c r="R508">
        <v>13</v>
      </c>
      <c r="S508">
        <v>0</v>
      </c>
      <c r="T508">
        <v>3</v>
      </c>
      <c r="U508">
        <v>3</v>
      </c>
      <c r="V508">
        <v>23</v>
      </c>
      <c r="W508">
        <v>3</v>
      </c>
    </row>
    <row r="509" spans="1:23" x14ac:dyDescent="0.25">
      <c r="A509" s="1" t="s">
        <v>23</v>
      </c>
      <c r="B509" s="1" t="s">
        <v>54</v>
      </c>
      <c r="C509" s="1" t="s">
        <v>39</v>
      </c>
      <c r="D509" s="1" t="s">
        <v>26</v>
      </c>
      <c r="E509" s="1" t="s">
        <v>51</v>
      </c>
      <c r="F509" s="1" t="s">
        <v>28</v>
      </c>
      <c r="G509" s="1" t="s">
        <v>567</v>
      </c>
      <c r="H509">
        <v>508</v>
      </c>
      <c r="I509" s="1" t="s">
        <v>36</v>
      </c>
      <c r="J509" s="1" t="s">
        <v>70</v>
      </c>
      <c r="K509" s="1" t="s">
        <v>38</v>
      </c>
      <c r="L509" s="1" t="s">
        <v>23</v>
      </c>
      <c r="M509">
        <v>45</v>
      </c>
      <c r="N509">
        <v>24792</v>
      </c>
      <c r="O509">
        <v>2</v>
      </c>
      <c r="P509">
        <v>1</v>
      </c>
      <c r="Q509">
        <v>17</v>
      </c>
      <c r="R509">
        <v>7</v>
      </c>
      <c r="S509">
        <v>4</v>
      </c>
      <c r="T509">
        <v>1</v>
      </c>
      <c r="U509">
        <v>4</v>
      </c>
      <c r="V509">
        <v>3</v>
      </c>
      <c r="W509">
        <v>3</v>
      </c>
    </row>
    <row r="510" spans="1:23" x14ac:dyDescent="0.25">
      <c r="A510" s="1" t="s">
        <v>23</v>
      </c>
      <c r="B510" s="1" t="s">
        <v>44</v>
      </c>
      <c r="C510" s="1" t="s">
        <v>34</v>
      </c>
      <c r="D510" s="1" t="s">
        <v>26</v>
      </c>
      <c r="E510" s="1" t="s">
        <v>27</v>
      </c>
      <c r="F510" s="1" t="s">
        <v>28</v>
      </c>
      <c r="G510" s="1" t="s">
        <v>568</v>
      </c>
      <c r="H510">
        <v>509</v>
      </c>
      <c r="I510" s="1" t="s">
        <v>30</v>
      </c>
      <c r="J510" s="1" t="s">
        <v>76</v>
      </c>
      <c r="K510" s="1" t="s">
        <v>50</v>
      </c>
      <c r="L510" s="1" t="s">
        <v>33</v>
      </c>
      <c r="M510">
        <v>45</v>
      </c>
      <c r="N510">
        <v>76255</v>
      </c>
      <c r="O510">
        <v>4</v>
      </c>
      <c r="P510">
        <v>1</v>
      </c>
      <c r="Q510">
        <v>7</v>
      </c>
      <c r="R510">
        <v>11</v>
      </c>
      <c r="S510">
        <v>4</v>
      </c>
      <c r="T510">
        <v>3</v>
      </c>
      <c r="U510">
        <v>4</v>
      </c>
      <c r="V510">
        <v>4</v>
      </c>
      <c r="W510">
        <v>5</v>
      </c>
    </row>
    <row r="511" spans="1:23" x14ac:dyDescent="0.25">
      <c r="A511" s="1" t="s">
        <v>23</v>
      </c>
      <c r="B511" s="1" t="s">
        <v>54</v>
      </c>
      <c r="C511" s="1" t="s">
        <v>39</v>
      </c>
      <c r="D511" s="1" t="s">
        <v>26</v>
      </c>
      <c r="E511" s="1" t="s">
        <v>27</v>
      </c>
      <c r="F511" s="1" t="s">
        <v>46</v>
      </c>
      <c r="G511" s="1" t="s">
        <v>569</v>
      </c>
      <c r="H511">
        <v>510</v>
      </c>
      <c r="I511" s="1" t="s">
        <v>30</v>
      </c>
      <c r="J511" s="1" t="s">
        <v>64</v>
      </c>
      <c r="K511" s="1" t="s">
        <v>50</v>
      </c>
      <c r="L511" s="1" t="s">
        <v>23</v>
      </c>
      <c r="M511">
        <v>45</v>
      </c>
      <c r="N511">
        <v>65362</v>
      </c>
      <c r="O511">
        <v>3</v>
      </c>
      <c r="P511">
        <v>4</v>
      </c>
      <c r="Q511">
        <v>30</v>
      </c>
      <c r="R511">
        <v>37</v>
      </c>
      <c r="S511">
        <v>1</v>
      </c>
      <c r="T511">
        <v>3</v>
      </c>
      <c r="U511">
        <v>3</v>
      </c>
      <c r="V511">
        <v>22</v>
      </c>
      <c r="W511">
        <v>5</v>
      </c>
    </row>
    <row r="512" spans="1:23" x14ac:dyDescent="0.25">
      <c r="A512" s="1" t="s">
        <v>23</v>
      </c>
      <c r="B512" s="1" t="s">
        <v>44</v>
      </c>
      <c r="C512" s="1" t="s">
        <v>39</v>
      </c>
      <c r="D512" s="1" t="s">
        <v>26</v>
      </c>
      <c r="E512" s="1" t="s">
        <v>55</v>
      </c>
      <c r="F512" s="1" t="s">
        <v>41</v>
      </c>
      <c r="G512" s="1" t="s">
        <v>570</v>
      </c>
      <c r="H512">
        <v>511</v>
      </c>
      <c r="I512" s="1" t="s">
        <v>36</v>
      </c>
      <c r="J512" s="1" t="s">
        <v>64</v>
      </c>
      <c r="K512" s="1" t="s">
        <v>32</v>
      </c>
      <c r="L512" s="1" t="s">
        <v>23</v>
      </c>
      <c r="M512">
        <v>36</v>
      </c>
      <c r="N512">
        <v>177567</v>
      </c>
      <c r="O512">
        <v>4</v>
      </c>
      <c r="P512">
        <v>4</v>
      </c>
      <c r="Q512">
        <v>11</v>
      </c>
      <c r="R512">
        <v>28</v>
      </c>
      <c r="S512">
        <v>2</v>
      </c>
      <c r="T512">
        <v>4</v>
      </c>
      <c r="U512">
        <v>4</v>
      </c>
      <c r="V512">
        <v>9</v>
      </c>
      <c r="W512">
        <v>4</v>
      </c>
    </row>
    <row r="513" spans="1:23" x14ac:dyDescent="0.25">
      <c r="A513" s="1" t="s">
        <v>23</v>
      </c>
      <c r="B513" s="1" t="s">
        <v>44</v>
      </c>
      <c r="C513" s="1" t="s">
        <v>39</v>
      </c>
      <c r="D513" s="1" t="s">
        <v>26</v>
      </c>
      <c r="E513" s="1" t="s">
        <v>55</v>
      </c>
      <c r="F513" s="1" t="s">
        <v>52</v>
      </c>
      <c r="G513" s="1" t="s">
        <v>571</v>
      </c>
      <c r="H513">
        <v>512</v>
      </c>
      <c r="I513" s="1" t="s">
        <v>30</v>
      </c>
      <c r="J513" s="1" t="s">
        <v>76</v>
      </c>
      <c r="K513" s="1" t="s">
        <v>38</v>
      </c>
      <c r="L513" s="1" t="s">
        <v>23</v>
      </c>
      <c r="M513">
        <v>26</v>
      </c>
      <c r="N513">
        <v>38833</v>
      </c>
      <c r="O513">
        <v>1</v>
      </c>
      <c r="P513">
        <v>2</v>
      </c>
      <c r="Q513">
        <v>5</v>
      </c>
      <c r="R513">
        <v>10</v>
      </c>
      <c r="S513">
        <v>4</v>
      </c>
      <c r="T513">
        <v>1</v>
      </c>
      <c r="U513">
        <v>3</v>
      </c>
      <c r="V513">
        <v>24</v>
      </c>
      <c r="W513">
        <v>3</v>
      </c>
    </row>
    <row r="514" spans="1:23" x14ac:dyDescent="0.25">
      <c r="A514" s="1" t="s">
        <v>23</v>
      </c>
      <c r="B514" s="1" t="s">
        <v>44</v>
      </c>
      <c r="C514" s="1" t="s">
        <v>39</v>
      </c>
      <c r="D514" s="1" t="s">
        <v>26</v>
      </c>
      <c r="E514" s="1" t="s">
        <v>60</v>
      </c>
      <c r="F514" s="1" t="s">
        <v>52</v>
      </c>
      <c r="G514" s="1" t="s">
        <v>572</v>
      </c>
      <c r="H514">
        <v>513</v>
      </c>
      <c r="I514" s="1" t="s">
        <v>30</v>
      </c>
      <c r="J514" s="1" t="s">
        <v>86</v>
      </c>
      <c r="K514" s="1" t="s">
        <v>38</v>
      </c>
      <c r="L514" s="1" t="s">
        <v>33</v>
      </c>
      <c r="M514">
        <v>46</v>
      </c>
      <c r="N514">
        <v>21643</v>
      </c>
      <c r="O514">
        <v>2</v>
      </c>
      <c r="P514">
        <v>1</v>
      </c>
      <c r="Q514">
        <v>27</v>
      </c>
      <c r="R514">
        <v>34</v>
      </c>
      <c r="S514">
        <v>5</v>
      </c>
      <c r="T514">
        <v>3</v>
      </c>
      <c r="U514">
        <v>3</v>
      </c>
      <c r="V514">
        <v>24</v>
      </c>
      <c r="W514">
        <v>5</v>
      </c>
    </row>
    <row r="515" spans="1:23" x14ac:dyDescent="0.25">
      <c r="A515" s="1" t="s">
        <v>23</v>
      </c>
      <c r="B515" s="1" t="s">
        <v>24</v>
      </c>
      <c r="C515" s="1" t="s">
        <v>25</v>
      </c>
      <c r="D515" s="1" t="s">
        <v>26</v>
      </c>
      <c r="E515" s="1" t="s">
        <v>40</v>
      </c>
      <c r="F515" s="1" t="s">
        <v>52</v>
      </c>
      <c r="G515" s="1" t="s">
        <v>573</v>
      </c>
      <c r="H515">
        <v>514</v>
      </c>
      <c r="I515" s="1" t="s">
        <v>30</v>
      </c>
      <c r="J515" s="1" t="s">
        <v>70</v>
      </c>
      <c r="K515" s="1" t="s">
        <v>50</v>
      </c>
      <c r="L515" s="1" t="s">
        <v>23</v>
      </c>
      <c r="M515">
        <v>29</v>
      </c>
      <c r="N515">
        <v>152659</v>
      </c>
      <c r="O515">
        <v>3</v>
      </c>
      <c r="P515">
        <v>1</v>
      </c>
      <c r="Q515">
        <v>27</v>
      </c>
      <c r="R515">
        <v>31</v>
      </c>
      <c r="S515">
        <v>3</v>
      </c>
      <c r="T515">
        <v>2</v>
      </c>
      <c r="U515">
        <v>4</v>
      </c>
      <c r="V515">
        <v>4</v>
      </c>
      <c r="W515">
        <v>3</v>
      </c>
    </row>
    <row r="516" spans="1:23" x14ac:dyDescent="0.25">
      <c r="A516" s="1" t="s">
        <v>33</v>
      </c>
      <c r="B516" s="1" t="s">
        <v>24</v>
      </c>
      <c r="C516" s="1" t="s">
        <v>34</v>
      </c>
      <c r="D516" s="1" t="s">
        <v>73</v>
      </c>
      <c r="E516" s="1" t="s">
        <v>51</v>
      </c>
      <c r="F516" s="1" t="s">
        <v>46</v>
      </c>
      <c r="G516" s="1" t="s">
        <v>574</v>
      </c>
      <c r="H516">
        <v>515</v>
      </c>
      <c r="I516" s="1" t="s">
        <v>36</v>
      </c>
      <c r="J516" s="1" t="s">
        <v>86</v>
      </c>
      <c r="K516" s="1" t="s">
        <v>38</v>
      </c>
      <c r="L516" s="1" t="s">
        <v>23</v>
      </c>
      <c r="M516">
        <v>34</v>
      </c>
      <c r="N516">
        <v>18585</v>
      </c>
      <c r="O516">
        <v>4</v>
      </c>
      <c r="P516">
        <v>2</v>
      </c>
      <c r="Q516">
        <v>19</v>
      </c>
      <c r="R516">
        <v>41</v>
      </c>
      <c r="S516">
        <v>4</v>
      </c>
      <c r="T516">
        <v>1</v>
      </c>
      <c r="U516">
        <v>4</v>
      </c>
      <c r="V516">
        <v>29</v>
      </c>
      <c r="W516">
        <v>5</v>
      </c>
    </row>
    <row r="517" spans="1:23" x14ac:dyDescent="0.25">
      <c r="A517" s="1" t="s">
        <v>33</v>
      </c>
      <c r="B517" s="1" t="s">
        <v>54</v>
      </c>
      <c r="C517" s="1" t="s">
        <v>25</v>
      </c>
      <c r="D517" s="1" t="s">
        <v>73</v>
      </c>
      <c r="E517" s="1" t="s">
        <v>60</v>
      </c>
      <c r="F517" s="1" t="s">
        <v>68</v>
      </c>
      <c r="G517" s="1" t="s">
        <v>575</v>
      </c>
      <c r="H517">
        <v>516</v>
      </c>
      <c r="I517" s="1" t="s">
        <v>36</v>
      </c>
      <c r="J517" s="1" t="s">
        <v>76</v>
      </c>
      <c r="K517" s="1" t="s">
        <v>38</v>
      </c>
      <c r="L517" s="1" t="s">
        <v>33</v>
      </c>
      <c r="M517">
        <v>21</v>
      </c>
      <c r="N517">
        <v>109677</v>
      </c>
      <c r="O517">
        <v>2</v>
      </c>
      <c r="P517">
        <v>4</v>
      </c>
      <c r="Q517">
        <v>22</v>
      </c>
      <c r="R517">
        <v>0</v>
      </c>
      <c r="S517">
        <v>0</v>
      </c>
      <c r="T517">
        <v>4</v>
      </c>
      <c r="U517">
        <v>4</v>
      </c>
      <c r="V517">
        <v>7</v>
      </c>
      <c r="W517">
        <v>1</v>
      </c>
    </row>
    <row r="518" spans="1:23" x14ac:dyDescent="0.25">
      <c r="A518" s="1" t="s">
        <v>23</v>
      </c>
      <c r="B518" s="1" t="s">
        <v>24</v>
      </c>
      <c r="C518" s="1" t="s">
        <v>65</v>
      </c>
      <c r="D518" s="1" t="s">
        <v>26</v>
      </c>
      <c r="E518" s="1" t="s">
        <v>40</v>
      </c>
      <c r="F518" s="1" t="s">
        <v>68</v>
      </c>
      <c r="G518" s="1" t="s">
        <v>576</v>
      </c>
      <c r="H518">
        <v>517</v>
      </c>
      <c r="I518" s="1" t="s">
        <v>30</v>
      </c>
      <c r="J518" s="1" t="s">
        <v>70</v>
      </c>
      <c r="K518" s="1" t="s">
        <v>32</v>
      </c>
      <c r="L518" s="1" t="s">
        <v>23</v>
      </c>
      <c r="M518">
        <v>35</v>
      </c>
      <c r="N518">
        <v>141390</v>
      </c>
      <c r="O518">
        <v>4</v>
      </c>
      <c r="P518">
        <v>3</v>
      </c>
      <c r="Q518">
        <v>19</v>
      </c>
      <c r="R518">
        <v>23</v>
      </c>
      <c r="S518">
        <v>3</v>
      </c>
      <c r="T518">
        <v>2</v>
      </c>
      <c r="U518">
        <v>4</v>
      </c>
      <c r="V518">
        <v>4</v>
      </c>
      <c r="W518">
        <v>4</v>
      </c>
    </row>
    <row r="519" spans="1:23" x14ac:dyDescent="0.25">
      <c r="A519" s="1" t="s">
        <v>23</v>
      </c>
      <c r="B519" s="1" t="s">
        <v>44</v>
      </c>
      <c r="C519" s="1" t="s">
        <v>34</v>
      </c>
      <c r="D519" s="1" t="s">
        <v>26</v>
      </c>
      <c r="E519" s="1" t="s">
        <v>55</v>
      </c>
      <c r="F519" s="1" t="s">
        <v>52</v>
      </c>
      <c r="G519" s="1" t="s">
        <v>577</v>
      </c>
      <c r="H519">
        <v>518</v>
      </c>
      <c r="I519" s="1" t="s">
        <v>36</v>
      </c>
      <c r="J519" s="1" t="s">
        <v>64</v>
      </c>
      <c r="K519" s="1" t="s">
        <v>38</v>
      </c>
      <c r="L519" s="1" t="s">
        <v>33</v>
      </c>
      <c r="M519">
        <v>28</v>
      </c>
      <c r="N519">
        <v>67693</v>
      </c>
      <c r="O519">
        <v>3</v>
      </c>
      <c r="P519">
        <v>1</v>
      </c>
      <c r="Q519">
        <v>8</v>
      </c>
      <c r="R519">
        <v>25</v>
      </c>
      <c r="S519">
        <v>3</v>
      </c>
      <c r="T519">
        <v>3</v>
      </c>
      <c r="U519">
        <v>3</v>
      </c>
      <c r="V519">
        <v>6</v>
      </c>
      <c r="W519">
        <v>2</v>
      </c>
    </row>
    <row r="520" spans="1:23" x14ac:dyDescent="0.25">
      <c r="A520" s="1" t="s">
        <v>33</v>
      </c>
      <c r="B520" s="1" t="s">
        <v>24</v>
      </c>
      <c r="C520" s="1" t="s">
        <v>57</v>
      </c>
      <c r="D520" s="1" t="s">
        <v>73</v>
      </c>
      <c r="E520" s="1" t="s">
        <v>27</v>
      </c>
      <c r="F520" s="1" t="s">
        <v>68</v>
      </c>
      <c r="G520" s="1" t="s">
        <v>578</v>
      </c>
      <c r="H520">
        <v>519</v>
      </c>
      <c r="I520" s="1" t="s">
        <v>36</v>
      </c>
      <c r="J520" s="1" t="s">
        <v>59</v>
      </c>
      <c r="K520" s="1" t="s">
        <v>38</v>
      </c>
      <c r="L520" s="1" t="s">
        <v>33</v>
      </c>
      <c r="M520">
        <v>41</v>
      </c>
      <c r="N520">
        <v>122825</v>
      </c>
      <c r="O520">
        <v>4</v>
      </c>
      <c r="P520">
        <v>2</v>
      </c>
      <c r="Q520">
        <v>7</v>
      </c>
      <c r="R520">
        <v>6</v>
      </c>
      <c r="S520">
        <v>6</v>
      </c>
      <c r="T520">
        <v>1</v>
      </c>
      <c r="U520">
        <v>3</v>
      </c>
      <c r="V520">
        <v>5</v>
      </c>
      <c r="W520">
        <v>3</v>
      </c>
    </row>
    <row r="521" spans="1:23" x14ac:dyDescent="0.25">
      <c r="A521" s="1" t="s">
        <v>23</v>
      </c>
      <c r="B521" s="1" t="s">
        <v>24</v>
      </c>
      <c r="C521" s="1" t="s">
        <v>65</v>
      </c>
      <c r="D521" s="1" t="s">
        <v>26</v>
      </c>
      <c r="E521" s="1" t="s">
        <v>55</v>
      </c>
      <c r="F521" s="1" t="s">
        <v>52</v>
      </c>
      <c r="G521" s="1" t="s">
        <v>579</v>
      </c>
      <c r="H521">
        <v>520</v>
      </c>
      <c r="I521" s="1" t="s">
        <v>36</v>
      </c>
      <c r="J521" s="1" t="s">
        <v>41</v>
      </c>
      <c r="K521" s="1" t="s">
        <v>32</v>
      </c>
      <c r="L521" s="1" t="s">
        <v>33</v>
      </c>
      <c r="M521">
        <v>48</v>
      </c>
      <c r="N521">
        <v>143879</v>
      </c>
      <c r="O521">
        <v>3</v>
      </c>
      <c r="P521">
        <v>3</v>
      </c>
      <c r="Q521">
        <v>31</v>
      </c>
      <c r="R521">
        <v>5</v>
      </c>
      <c r="S521">
        <v>6</v>
      </c>
      <c r="T521">
        <v>4</v>
      </c>
      <c r="U521">
        <v>3</v>
      </c>
      <c r="V521">
        <v>20</v>
      </c>
      <c r="W521">
        <v>2</v>
      </c>
    </row>
    <row r="522" spans="1:23" x14ac:dyDescent="0.25">
      <c r="A522" s="1" t="s">
        <v>23</v>
      </c>
      <c r="B522" s="1" t="s">
        <v>24</v>
      </c>
      <c r="C522" s="1" t="s">
        <v>34</v>
      </c>
      <c r="D522" s="1" t="s">
        <v>26</v>
      </c>
      <c r="E522" s="1" t="s">
        <v>27</v>
      </c>
      <c r="F522" s="1" t="s">
        <v>46</v>
      </c>
      <c r="G522" s="1" t="s">
        <v>580</v>
      </c>
      <c r="H522">
        <v>521</v>
      </c>
      <c r="I522" s="1" t="s">
        <v>30</v>
      </c>
      <c r="J522" s="1" t="s">
        <v>41</v>
      </c>
      <c r="K522" s="1" t="s">
        <v>50</v>
      </c>
      <c r="L522" s="1" t="s">
        <v>23</v>
      </c>
      <c r="M522">
        <v>27</v>
      </c>
      <c r="N522">
        <v>149683</v>
      </c>
      <c r="O522">
        <v>2</v>
      </c>
      <c r="P522">
        <v>2</v>
      </c>
      <c r="Q522">
        <v>37</v>
      </c>
      <c r="R522">
        <v>40</v>
      </c>
      <c r="S522">
        <v>5</v>
      </c>
      <c r="T522">
        <v>2</v>
      </c>
      <c r="U522">
        <v>3</v>
      </c>
      <c r="V522">
        <v>4</v>
      </c>
      <c r="W522">
        <v>2</v>
      </c>
    </row>
    <row r="523" spans="1:23" x14ac:dyDescent="0.25">
      <c r="A523" s="1" t="s">
        <v>23</v>
      </c>
      <c r="B523" s="1" t="s">
        <v>24</v>
      </c>
      <c r="C523" s="1" t="s">
        <v>34</v>
      </c>
      <c r="D523" s="1" t="s">
        <v>26</v>
      </c>
      <c r="E523" s="1" t="s">
        <v>55</v>
      </c>
      <c r="F523" s="1" t="s">
        <v>68</v>
      </c>
      <c r="G523" s="1" t="s">
        <v>581</v>
      </c>
      <c r="H523">
        <v>522</v>
      </c>
      <c r="I523" s="1" t="s">
        <v>30</v>
      </c>
      <c r="J523" s="1" t="s">
        <v>43</v>
      </c>
      <c r="K523" s="1" t="s">
        <v>50</v>
      </c>
      <c r="L523" s="1" t="s">
        <v>33</v>
      </c>
      <c r="M523">
        <v>24</v>
      </c>
      <c r="N523">
        <v>117707</v>
      </c>
      <c r="O523">
        <v>4</v>
      </c>
      <c r="P523">
        <v>3</v>
      </c>
      <c r="Q523">
        <v>40</v>
      </c>
      <c r="R523">
        <v>14</v>
      </c>
      <c r="S523">
        <v>1</v>
      </c>
      <c r="T523">
        <v>3</v>
      </c>
      <c r="U523">
        <v>4</v>
      </c>
      <c r="V523">
        <v>16</v>
      </c>
      <c r="W523">
        <v>1</v>
      </c>
    </row>
    <row r="524" spans="1:23" x14ac:dyDescent="0.25">
      <c r="A524" s="1" t="s">
        <v>23</v>
      </c>
      <c r="B524" s="1" t="s">
        <v>24</v>
      </c>
      <c r="C524" s="1" t="s">
        <v>39</v>
      </c>
      <c r="D524" s="1" t="s">
        <v>26</v>
      </c>
      <c r="E524" s="1" t="s">
        <v>27</v>
      </c>
      <c r="F524" s="1" t="s">
        <v>46</v>
      </c>
      <c r="G524" s="1" t="s">
        <v>582</v>
      </c>
      <c r="H524">
        <v>523</v>
      </c>
      <c r="I524" s="1" t="s">
        <v>36</v>
      </c>
      <c r="J524" s="1" t="s">
        <v>76</v>
      </c>
      <c r="K524" s="1" t="s">
        <v>38</v>
      </c>
      <c r="L524" s="1" t="s">
        <v>23</v>
      </c>
      <c r="M524">
        <v>36</v>
      </c>
      <c r="N524">
        <v>101844</v>
      </c>
      <c r="O524">
        <v>1</v>
      </c>
      <c r="P524">
        <v>2</v>
      </c>
      <c r="Q524">
        <v>2</v>
      </c>
      <c r="R524">
        <v>0</v>
      </c>
      <c r="S524">
        <v>0</v>
      </c>
      <c r="T524">
        <v>3</v>
      </c>
      <c r="U524">
        <v>3</v>
      </c>
      <c r="V524">
        <v>10</v>
      </c>
      <c r="W524">
        <v>4</v>
      </c>
    </row>
    <row r="525" spans="1:23" x14ac:dyDescent="0.25">
      <c r="A525" s="1" t="s">
        <v>23</v>
      </c>
      <c r="B525" s="1" t="s">
        <v>24</v>
      </c>
      <c r="C525" s="1" t="s">
        <v>39</v>
      </c>
      <c r="D525" s="1" t="s">
        <v>26</v>
      </c>
      <c r="E525" s="1" t="s">
        <v>40</v>
      </c>
      <c r="F525" s="1" t="s">
        <v>46</v>
      </c>
      <c r="G525" s="1" t="s">
        <v>583</v>
      </c>
      <c r="H525">
        <v>524</v>
      </c>
      <c r="I525" s="1" t="s">
        <v>36</v>
      </c>
      <c r="J525" s="1" t="s">
        <v>37</v>
      </c>
      <c r="K525" s="1" t="s">
        <v>38</v>
      </c>
      <c r="L525" s="1" t="s">
        <v>23</v>
      </c>
      <c r="M525">
        <v>28</v>
      </c>
      <c r="N525">
        <v>43398</v>
      </c>
      <c r="O525">
        <v>1</v>
      </c>
      <c r="P525">
        <v>2</v>
      </c>
      <c r="Q525">
        <v>21</v>
      </c>
      <c r="R525">
        <v>23</v>
      </c>
      <c r="S525">
        <v>5</v>
      </c>
      <c r="T525">
        <v>3</v>
      </c>
      <c r="U525">
        <v>4</v>
      </c>
      <c r="V525">
        <v>8</v>
      </c>
      <c r="W525">
        <v>3</v>
      </c>
    </row>
    <row r="526" spans="1:23" x14ac:dyDescent="0.25">
      <c r="A526" s="1" t="s">
        <v>23</v>
      </c>
      <c r="B526" s="1" t="s">
        <v>24</v>
      </c>
      <c r="C526" s="1" t="s">
        <v>34</v>
      </c>
      <c r="D526" s="1" t="s">
        <v>26</v>
      </c>
      <c r="E526" s="1" t="s">
        <v>60</v>
      </c>
      <c r="F526" s="1" t="s">
        <v>52</v>
      </c>
      <c r="G526" s="1" t="s">
        <v>584</v>
      </c>
      <c r="H526">
        <v>525</v>
      </c>
      <c r="I526" s="1" t="s">
        <v>30</v>
      </c>
      <c r="J526" s="1" t="s">
        <v>64</v>
      </c>
      <c r="K526" s="1" t="s">
        <v>32</v>
      </c>
      <c r="L526" s="1" t="s">
        <v>33</v>
      </c>
      <c r="M526">
        <v>33</v>
      </c>
      <c r="N526">
        <v>134855</v>
      </c>
      <c r="O526">
        <v>1</v>
      </c>
      <c r="P526">
        <v>1</v>
      </c>
      <c r="Q526">
        <v>34</v>
      </c>
      <c r="R526">
        <v>39</v>
      </c>
      <c r="S526">
        <v>2</v>
      </c>
      <c r="T526">
        <v>3</v>
      </c>
      <c r="U526">
        <v>4</v>
      </c>
      <c r="V526">
        <v>25</v>
      </c>
      <c r="W526">
        <v>2</v>
      </c>
    </row>
    <row r="527" spans="1:23" x14ac:dyDescent="0.25">
      <c r="A527" s="1" t="s">
        <v>23</v>
      </c>
      <c r="B527" s="1" t="s">
        <v>24</v>
      </c>
      <c r="C527" s="1" t="s">
        <v>34</v>
      </c>
      <c r="D527" s="1" t="s">
        <v>26</v>
      </c>
      <c r="E527" s="1" t="s">
        <v>55</v>
      </c>
      <c r="F527" s="1" t="s">
        <v>68</v>
      </c>
      <c r="G527" s="1" t="s">
        <v>585</v>
      </c>
      <c r="H527">
        <v>526</v>
      </c>
      <c r="I527" s="1" t="s">
        <v>36</v>
      </c>
      <c r="J527" s="1" t="s">
        <v>59</v>
      </c>
      <c r="K527" s="1" t="s">
        <v>38</v>
      </c>
      <c r="L527" s="1" t="s">
        <v>23</v>
      </c>
      <c r="M527">
        <v>49</v>
      </c>
      <c r="N527">
        <v>48783</v>
      </c>
      <c r="O527">
        <v>4</v>
      </c>
      <c r="P527">
        <v>1</v>
      </c>
      <c r="Q527">
        <v>30</v>
      </c>
      <c r="R527">
        <v>26</v>
      </c>
      <c r="S527">
        <v>4</v>
      </c>
      <c r="T527">
        <v>1</v>
      </c>
      <c r="U527">
        <v>3</v>
      </c>
      <c r="V527">
        <v>20</v>
      </c>
      <c r="W527">
        <v>3</v>
      </c>
    </row>
    <row r="528" spans="1:23" x14ac:dyDescent="0.25">
      <c r="A528" s="1" t="s">
        <v>23</v>
      </c>
      <c r="B528" s="1" t="s">
        <v>54</v>
      </c>
      <c r="C528" s="1" t="s">
        <v>34</v>
      </c>
      <c r="D528" s="1" t="s">
        <v>26</v>
      </c>
      <c r="E528" s="1" t="s">
        <v>60</v>
      </c>
      <c r="F528" s="1" t="s">
        <v>66</v>
      </c>
      <c r="G528" s="1" t="s">
        <v>586</v>
      </c>
      <c r="H528">
        <v>527</v>
      </c>
      <c r="I528" s="1" t="s">
        <v>30</v>
      </c>
      <c r="J528" s="1" t="s">
        <v>41</v>
      </c>
      <c r="K528" s="1" t="s">
        <v>38</v>
      </c>
      <c r="L528" s="1" t="s">
        <v>33</v>
      </c>
      <c r="M528">
        <v>31</v>
      </c>
      <c r="N528">
        <v>132752</v>
      </c>
      <c r="O528">
        <v>4</v>
      </c>
      <c r="P528">
        <v>4</v>
      </c>
      <c r="Q528">
        <v>25</v>
      </c>
      <c r="R528">
        <v>38</v>
      </c>
      <c r="S528">
        <v>2</v>
      </c>
      <c r="T528">
        <v>2</v>
      </c>
      <c r="U528">
        <v>3</v>
      </c>
      <c r="V528">
        <v>1</v>
      </c>
      <c r="W528">
        <v>2</v>
      </c>
    </row>
    <row r="529" spans="1:23" x14ac:dyDescent="0.25">
      <c r="A529" s="1" t="s">
        <v>23</v>
      </c>
      <c r="B529" s="1" t="s">
        <v>54</v>
      </c>
      <c r="C529" s="1" t="s">
        <v>39</v>
      </c>
      <c r="D529" s="1" t="s">
        <v>26</v>
      </c>
      <c r="E529" s="1" t="s">
        <v>60</v>
      </c>
      <c r="F529" s="1" t="s">
        <v>68</v>
      </c>
      <c r="G529" s="1" t="s">
        <v>587</v>
      </c>
      <c r="H529">
        <v>528</v>
      </c>
      <c r="I529" s="1" t="s">
        <v>36</v>
      </c>
      <c r="J529" s="1" t="s">
        <v>76</v>
      </c>
      <c r="K529" s="1" t="s">
        <v>50</v>
      </c>
      <c r="L529" s="1" t="s">
        <v>23</v>
      </c>
      <c r="M529">
        <v>38</v>
      </c>
      <c r="N529">
        <v>162743</v>
      </c>
      <c r="O529">
        <v>1</v>
      </c>
      <c r="P529">
        <v>2</v>
      </c>
      <c r="Q529">
        <v>14</v>
      </c>
      <c r="R529">
        <v>2</v>
      </c>
      <c r="S529">
        <v>4</v>
      </c>
      <c r="T529">
        <v>2</v>
      </c>
      <c r="U529">
        <v>4</v>
      </c>
      <c r="V529">
        <v>2</v>
      </c>
      <c r="W529">
        <v>2</v>
      </c>
    </row>
    <row r="530" spans="1:23" x14ac:dyDescent="0.25">
      <c r="A530" s="1" t="s">
        <v>33</v>
      </c>
      <c r="B530" s="1" t="s">
        <v>44</v>
      </c>
      <c r="C530" s="1" t="s">
        <v>34</v>
      </c>
      <c r="D530" s="1" t="s">
        <v>73</v>
      </c>
      <c r="E530" s="1" t="s">
        <v>55</v>
      </c>
      <c r="F530" s="1" t="s">
        <v>66</v>
      </c>
      <c r="G530" s="1" t="s">
        <v>588</v>
      </c>
      <c r="H530">
        <v>529</v>
      </c>
      <c r="I530" s="1" t="s">
        <v>30</v>
      </c>
      <c r="J530" s="1" t="s">
        <v>48</v>
      </c>
      <c r="K530" s="1" t="s">
        <v>32</v>
      </c>
      <c r="L530" s="1" t="s">
        <v>33</v>
      </c>
      <c r="M530">
        <v>21</v>
      </c>
      <c r="N530">
        <v>109085</v>
      </c>
      <c r="O530">
        <v>3</v>
      </c>
      <c r="P530">
        <v>3</v>
      </c>
      <c r="Q530">
        <v>5</v>
      </c>
      <c r="R530">
        <v>35</v>
      </c>
      <c r="S530">
        <v>2</v>
      </c>
      <c r="T530">
        <v>2</v>
      </c>
      <c r="U530">
        <v>4</v>
      </c>
      <c r="V530">
        <v>29</v>
      </c>
      <c r="W530">
        <v>5</v>
      </c>
    </row>
    <row r="531" spans="1:23" x14ac:dyDescent="0.25">
      <c r="A531" s="1" t="s">
        <v>23</v>
      </c>
      <c r="B531" s="1" t="s">
        <v>24</v>
      </c>
      <c r="C531" s="1" t="s">
        <v>57</v>
      </c>
      <c r="D531" s="1" t="s">
        <v>26</v>
      </c>
      <c r="E531" s="1" t="s">
        <v>46</v>
      </c>
      <c r="F531" s="1" t="s">
        <v>46</v>
      </c>
      <c r="G531" s="1" t="s">
        <v>589</v>
      </c>
      <c r="H531">
        <v>530</v>
      </c>
      <c r="I531" s="1" t="s">
        <v>30</v>
      </c>
      <c r="J531" s="1" t="s">
        <v>76</v>
      </c>
      <c r="K531" s="1" t="s">
        <v>50</v>
      </c>
      <c r="L531" s="1" t="s">
        <v>23</v>
      </c>
      <c r="M531">
        <v>22</v>
      </c>
      <c r="N531">
        <v>158873</v>
      </c>
      <c r="O531">
        <v>1</v>
      </c>
      <c r="P531">
        <v>4</v>
      </c>
      <c r="Q531">
        <v>16</v>
      </c>
      <c r="R531">
        <v>40</v>
      </c>
      <c r="S531">
        <v>5</v>
      </c>
      <c r="T531">
        <v>2</v>
      </c>
      <c r="U531">
        <v>4</v>
      </c>
      <c r="V531">
        <v>8</v>
      </c>
      <c r="W531">
        <v>3</v>
      </c>
    </row>
    <row r="532" spans="1:23" x14ac:dyDescent="0.25">
      <c r="A532" s="1" t="s">
        <v>23</v>
      </c>
      <c r="B532" s="1" t="s">
        <v>24</v>
      </c>
      <c r="C532" s="1" t="s">
        <v>39</v>
      </c>
      <c r="D532" s="1" t="s">
        <v>26</v>
      </c>
      <c r="E532" s="1" t="s">
        <v>40</v>
      </c>
      <c r="F532" s="1" t="s">
        <v>68</v>
      </c>
      <c r="G532" s="1" t="s">
        <v>590</v>
      </c>
      <c r="H532">
        <v>531</v>
      </c>
      <c r="I532" s="1" t="s">
        <v>30</v>
      </c>
      <c r="J532" s="1" t="s">
        <v>41</v>
      </c>
      <c r="K532" s="1" t="s">
        <v>38</v>
      </c>
      <c r="L532" s="1" t="s">
        <v>33</v>
      </c>
      <c r="M532">
        <v>51</v>
      </c>
      <c r="N532">
        <v>42560</v>
      </c>
      <c r="O532">
        <v>4</v>
      </c>
      <c r="P532">
        <v>2</v>
      </c>
      <c r="Q532">
        <v>29</v>
      </c>
      <c r="R532">
        <v>11</v>
      </c>
      <c r="S532">
        <v>6</v>
      </c>
      <c r="T532">
        <v>2</v>
      </c>
      <c r="U532">
        <v>3</v>
      </c>
      <c r="V532">
        <v>19</v>
      </c>
      <c r="W532">
        <v>4</v>
      </c>
    </row>
    <row r="533" spans="1:23" x14ac:dyDescent="0.25">
      <c r="A533" s="1" t="s">
        <v>33</v>
      </c>
      <c r="B533" s="1" t="s">
        <v>24</v>
      </c>
      <c r="C533" s="1" t="s">
        <v>34</v>
      </c>
      <c r="D533" s="1" t="s">
        <v>73</v>
      </c>
      <c r="E533" s="1" t="s">
        <v>27</v>
      </c>
      <c r="F533" s="1" t="s">
        <v>46</v>
      </c>
      <c r="G533" s="1" t="s">
        <v>591</v>
      </c>
      <c r="H533">
        <v>532</v>
      </c>
      <c r="I533" s="1" t="s">
        <v>30</v>
      </c>
      <c r="J533" s="1" t="s">
        <v>70</v>
      </c>
      <c r="K533" s="1" t="s">
        <v>38</v>
      </c>
      <c r="L533" s="1" t="s">
        <v>33</v>
      </c>
      <c r="M533">
        <v>25</v>
      </c>
      <c r="N533">
        <v>55623</v>
      </c>
      <c r="O533">
        <v>1</v>
      </c>
      <c r="P533">
        <v>4</v>
      </c>
      <c r="Q533">
        <v>15</v>
      </c>
      <c r="R533">
        <v>29</v>
      </c>
      <c r="S533">
        <v>5</v>
      </c>
      <c r="T533">
        <v>4</v>
      </c>
      <c r="U533">
        <v>3</v>
      </c>
      <c r="V533">
        <v>24</v>
      </c>
      <c r="W533">
        <v>5</v>
      </c>
    </row>
    <row r="534" spans="1:23" x14ac:dyDescent="0.25">
      <c r="A534" s="1" t="s">
        <v>23</v>
      </c>
      <c r="B534" s="1" t="s">
        <v>54</v>
      </c>
      <c r="C534" s="1" t="s">
        <v>65</v>
      </c>
      <c r="D534" s="1" t="s">
        <v>26</v>
      </c>
      <c r="E534" s="1" t="s">
        <v>60</v>
      </c>
      <c r="F534" s="1" t="s">
        <v>66</v>
      </c>
      <c r="G534" s="1" t="s">
        <v>592</v>
      </c>
      <c r="H534">
        <v>533</v>
      </c>
      <c r="I534" s="1" t="s">
        <v>36</v>
      </c>
      <c r="J534" s="1" t="s">
        <v>41</v>
      </c>
      <c r="K534" s="1" t="s">
        <v>50</v>
      </c>
      <c r="L534" s="1" t="s">
        <v>33</v>
      </c>
      <c r="M534">
        <v>21</v>
      </c>
      <c r="N534">
        <v>29466</v>
      </c>
      <c r="O534">
        <v>2</v>
      </c>
      <c r="P534">
        <v>2</v>
      </c>
      <c r="Q534">
        <v>5</v>
      </c>
      <c r="R534">
        <v>17</v>
      </c>
      <c r="S534">
        <v>1</v>
      </c>
      <c r="T534">
        <v>1</v>
      </c>
      <c r="U534">
        <v>3</v>
      </c>
      <c r="V534">
        <v>26</v>
      </c>
      <c r="W534">
        <v>1</v>
      </c>
    </row>
    <row r="535" spans="1:23" x14ac:dyDescent="0.25">
      <c r="A535" s="1" t="s">
        <v>23</v>
      </c>
      <c r="B535" s="1" t="s">
        <v>24</v>
      </c>
      <c r="C535" s="1" t="s">
        <v>65</v>
      </c>
      <c r="D535" s="1" t="s">
        <v>26</v>
      </c>
      <c r="E535" s="1" t="s">
        <v>46</v>
      </c>
      <c r="F535" s="1" t="s">
        <v>28</v>
      </c>
      <c r="G535" s="1" t="s">
        <v>593</v>
      </c>
      <c r="H535">
        <v>534</v>
      </c>
      <c r="I535" s="1" t="s">
        <v>30</v>
      </c>
      <c r="J535" s="1" t="s">
        <v>86</v>
      </c>
      <c r="K535" s="1" t="s">
        <v>32</v>
      </c>
      <c r="L535" s="1" t="s">
        <v>23</v>
      </c>
      <c r="M535">
        <v>31</v>
      </c>
      <c r="N535">
        <v>98579</v>
      </c>
      <c r="O535">
        <v>3</v>
      </c>
      <c r="P535">
        <v>4</v>
      </c>
      <c r="Q535">
        <v>9</v>
      </c>
      <c r="R535">
        <v>15</v>
      </c>
      <c r="S535">
        <v>0</v>
      </c>
      <c r="T535">
        <v>3</v>
      </c>
      <c r="U535">
        <v>3</v>
      </c>
      <c r="V535">
        <v>1</v>
      </c>
      <c r="W535">
        <v>1</v>
      </c>
    </row>
    <row r="536" spans="1:23" x14ac:dyDescent="0.25">
      <c r="A536" s="1" t="s">
        <v>23</v>
      </c>
      <c r="B536" s="1" t="s">
        <v>44</v>
      </c>
      <c r="C536" s="1" t="s">
        <v>34</v>
      </c>
      <c r="D536" s="1" t="s">
        <v>26</v>
      </c>
      <c r="E536" s="1" t="s">
        <v>51</v>
      </c>
      <c r="F536" s="1" t="s">
        <v>28</v>
      </c>
      <c r="G536" s="1" t="s">
        <v>594</v>
      </c>
      <c r="H536">
        <v>535</v>
      </c>
      <c r="I536" s="1" t="s">
        <v>30</v>
      </c>
      <c r="J536" s="1" t="s">
        <v>48</v>
      </c>
      <c r="K536" s="1" t="s">
        <v>50</v>
      </c>
      <c r="L536" s="1" t="s">
        <v>33</v>
      </c>
      <c r="M536">
        <v>48</v>
      </c>
      <c r="N536">
        <v>119025</v>
      </c>
      <c r="O536">
        <v>2</v>
      </c>
      <c r="P536">
        <v>3</v>
      </c>
      <c r="Q536">
        <v>18</v>
      </c>
      <c r="R536">
        <v>14</v>
      </c>
      <c r="S536">
        <v>5</v>
      </c>
      <c r="T536">
        <v>4</v>
      </c>
      <c r="U536">
        <v>3</v>
      </c>
      <c r="V536">
        <v>16</v>
      </c>
      <c r="W536">
        <v>2</v>
      </c>
    </row>
    <row r="537" spans="1:23" x14ac:dyDescent="0.25">
      <c r="A537" s="1" t="s">
        <v>33</v>
      </c>
      <c r="B537" s="1" t="s">
        <v>44</v>
      </c>
      <c r="C537" s="1" t="s">
        <v>34</v>
      </c>
      <c r="D537" s="1" t="s">
        <v>73</v>
      </c>
      <c r="E537" s="1" t="s">
        <v>27</v>
      </c>
      <c r="F537" s="1" t="s">
        <v>66</v>
      </c>
      <c r="G537" s="1" t="s">
        <v>595</v>
      </c>
      <c r="H537">
        <v>536</v>
      </c>
      <c r="I537" s="1" t="s">
        <v>36</v>
      </c>
      <c r="J537" s="1" t="s">
        <v>31</v>
      </c>
      <c r="K537" s="1" t="s">
        <v>38</v>
      </c>
      <c r="L537" s="1" t="s">
        <v>33</v>
      </c>
      <c r="M537">
        <v>23</v>
      </c>
      <c r="N537">
        <v>176467</v>
      </c>
      <c r="O537">
        <v>2</v>
      </c>
      <c r="P537">
        <v>2</v>
      </c>
      <c r="Q537">
        <v>27</v>
      </c>
      <c r="R537">
        <v>33</v>
      </c>
      <c r="S537">
        <v>2</v>
      </c>
      <c r="T537">
        <v>2</v>
      </c>
      <c r="U537">
        <v>4</v>
      </c>
      <c r="V537">
        <v>5</v>
      </c>
      <c r="W537">
        <v>3</v>
      </c>
    </row>
    <row r="538" spans="1:23" x14ac:dyDescent="0.25">
      <c r="A538" s="1" t="s">
        <v>23</v>
      </c>
      <c r="B538" s="1" t="s">
        <v>44</v>
      </c>
      <c r="C538" s="1" t="s">
        <v>34</v>
      </c>
      <c r="D538" s="1" t="s">
        <v>26</v>
      </c>
      <c r="E538" s="1" t="s">
        <v>60</v>
      </c>
      <c r="F538" s="1" t="s">
        <v>68</v>
      </c>
      <c r="G538" s="1" t="s">
        <v>596</v>
      </c>
      <c r="H538">
        <v>537</v>
      </c>
      <c r="I538" s="1" t="s">
        <v>36</v>
      </c>
      <c r="J538" s="1" t="s">
        <v>76</v>
      </c>
      <c r="K538" s="1" t="s">
        <v>32</v>
      </c>
      <c r="L538" s="1" t="s">
        <v>33</v>
      </c>
      <c r="M538">
        <v>21</v>
      </c>
      <c r="N538">
        <v>56965</v>
      </c>
      <c r="O538">
        <v>2</v>
      </c>
      <c r="P538">
        <v>3</v>
      </c>
      <c r="Q538">
        <v>9</v>
      </c>
      <c r="R538">
        <v>24</v>
      </c>
      <c r="S538">
        <v>3</v>
      </c>
      <c r="T538">
        <v>4</v>
      </c>
      <c r="U538">
        <v>3</v>
      </c>
      <c r="V538">
        <v>4</v>
      </c>
      <c r="W538">
        <v>5</v>
      </c>
    </row>
    <row r="539" spans="1:23" x14ac:dyDescent="0.25">
      <c r="A539" s="1" t="s">
        <v>23</v>
      </c>
      <c r="B539" s="1" t="s">
        <v>24</v>
      </c>
      <c r="C539" s="1" t="s">
        <v>39</v>
      </c>
      <c r="D539" s="1" t="s">
        <v>26</v>
      </c>
      <c r="E539" s="1" t="s">
        <v>55</v>
      </c>
      <c r="F539" s="1" t="s">
        <v>46</v>
      </c>
      <c r="G539" s="1" t="s">
        <v>597</v>
      </c>
      <c r="H539">
        <v>538</v>
      </c>
      <c r="I539" s="1" t="s">
        <v>30</v>
      </c>
      <c r="J539" s="1" t="s">
        <v>70</v>
      </c>
      <c r="K539" s="1" t="s">
        <v>38</v>
      </c>
      <c r="L539" s="1" t="s">
        <v>23</v>
      </c>
      <c r="M539">
        <v>41</v>
      </c>
      <c r="N539">
        <v>147553</v>
      </c>
      <c r="O539">
        <v>4</v>
      </c>
      <c r="P539">
        <v>4</v>
      </c>
      <c r="Q539">
        <v>26</v>
      </c>
      <c r="R539">
        <v>38</v>
      </c>
      <c r="S539">
        <v>6</v>
      </c>
      <c r="T539">
        <v>3</v>
      </c>
      <c r="U539">
        <v>3</v>
      </c>
      <c r="V539">
        <v>26</v>
      </c>
      <c r="W539">
        <v>2</v>
      </c>
    </row>
    <row r="540" spans="1:23" x14ac:dyDescent="0.25">
      <c r="A540" s="1" t="s">
        <v>23</v>
      </c>
      <c r="B540" s="1" t="s">
        <v>54</v>
      </c>
      <c r="C540" s="1" t="s">
        <v>39</v>
      </c>
      <c r="D540" s="1" t="s">
        <v>26</v>
      </c>
      <c r="E540" s="1" t="s">
        <v>51</v>
      </c>
      <c r="F540" s="1" t="s">
        <v>68</v>
      </c>
      <c r="G540" s="1" t="s">
        <v>598</v>
      </c>
      <c r="H540">
        <v>539</v>
      </c>
      <c r="I540" s="1" t="s">
        <v>30</v>
      </c>
      <c r="J540" s="1" t="s">
        <v>41</v>
      </c>
      <c r="K540" s="1" t="s">
        <v>50</v>
      </c>
      <c r="L540" s="1" t="s">
        <v>23</v>
      </c>
      <c r="M540">
        <v>54</v>
      </c>
      <c r="N540">
        <v>169486</v>
      </c>
      <c r="O540">
        <v>2</v>
      </c>
      <c r="P540">
        <v>1</v>
      </c>
      <c r="Q540">
        <v>15</v>
      </c>
      <c r="R540">
        <v>23</v>
      </c>
      <c r="S540">
        <v>0</v>
      </c>
      <c r="T540">
        <v>2</v>
      </c>
      <c r="U540">
        <v>3</v>
      </c>
      <c r="V540">
        <v>12</v>
      </c>
      <c r="W540">
        <v>5</v>
      </c>
    </row>
    <row r="541" spans="1:23" x14ac:dyDescent="0.25">
      <c r="A541" s="1" t="s">
        <v>23</v>
      </c>
      <c r="B541" s="1" t="s">
        <v>24</v>
      </c>
      <c r="C541" s="1" t="s">
        <v>34</v>
      </c>
      <c r="D541" s="1" t="s">
        <v>26</v>
      </c>
      <c r="E541" s="1" t="s">
        <v>60</v>
      </c>
      <c r="F541" s="1" t="s">
        <v>46</v>
      </c>
      <c r="G541" s="1" t="s">
        <v>599</v>
      </c>
      <c r="H541">
        <v>540</v>
      </c>
      <c r="I541" s="1" t="s">
        <v>36</v>
      </c>
      <c r="J541" s="1" t="s">
        <v>70</v>
      </c>
      <c r="K541" s="1" t="s">
        <v>38</v>
      </c>
      <c r="L541" s="1" t="s">
        <v>23</v>
      </c>
      <c r="M541">
        <v>30</v>
      </c>
      <c r="N541">
        <v>162572</v>
      </c>
      <c r="O541">
        <v>4</v>
      </c>
      <c r="P541">
        <v>2</v>
      </c>
      <c r="Q541">
        <v>13</v>
      </c>
      <c r="R541">
        <v>14</v>
      </c>
      <c r="S541">
        <v>0</v>
      </c>
      <c r="T541">
        <v>2</v>
      </c>
      <c r="U541">
        <v>3</v>
      </c>
      <c r="V541">
        <v>23</v>
      </c>
      <c r="W541">
        <v>2</v>
      </c>
    </row>
    <row r="542" spans="1:23" x14ac:dyDescent="0.25">
      <c r="A542" s="1" t="s">
        <v>23</v>
      </c>
      <c r="B542" s="1" t="s">
        <v>44</v>
      </c>
      <c r="C542" s="1" t="s">
        <v>25</v>
      </c>
      <c r="D542" s="1" t="s">
        <v>26</v>
      </c>
      <c r="E542" s="1" t="s">
        <v>40</v>
      </c>
      <c r="F542" s="1" t="s">
        <v>66</v>
      </c>
      <c r="G542" s="1" t="s">
        <v>600</v>
      </c>
      <c r="H542">
        <v>541</v>
      </c>
      <c r="I542" s="1" t="s">
        <v>30</v>
      </c>
      <c r="J542" s="1" t="s">
        <v>43</v>
      </c>
      <c r="K542" s="1" t="s">
        <v>50</v>
      </c>
      <c r="L542" s="1" t="s">
        <v>23</v>
      </c>
      <c r="M542">
        <v>59</v>
      </c>
      <c r="N542">
        <v>59464</v>
      </c>
      <c r="O542">
        <v>1</v>
      </c>
      <c r="P542">
        <v>2</v>
      </c>
      <c r="Q542">
        <v>23</v>
      </c>
      <c r="R542">
        <v>9</v>
      </c>
      <c r="S542">
        <v>0</v>
      </c>
      <c r="T542">
        <v>2</v>
      </c>
      <c r="U542">
        <v>3</v>
      </c>
      <c r="V542">
        <v>1</v>
      </c>
      <c r="W542">
        <v>5</v>
      </c>
    </row>
    <row r="543" spans="1:23" x14ac:dyDescent="0.25">
      <c r="A543" s="1" t="s">
        <v>23</v>
      </c>
      <c r="B543" s="1" t="s">
        <v>44</v>
      </c>
      <c r="C543" s="1" t="s">
        <v>34</v>
      </c>
      <c r="D543" s="1" t="s">
        <v>26</v>
      </c>
      <c r="E543" s="1" t="s">
        <v>55</v>
      </c>
      <c r="F543" s="1" t="s">
        <v>52</v>
      </c>
      <c r="G543" s="1" t="s">
        <v>601</v>
      </c>
      <c r="H543">
        <v>542</v>
      </c>
      <c r="I543" s="1" t="s">
        <v>30</v>
      </c>
      <c r="J543" s="1" t="s">
        <v>59</v>
      </c>
      <c r="K543" s="1" t="s">
        <v>32</v>
      </c>
      <c r="L543" s="1" t="s">
        <v>23</v>
      </c>
      <c r="M543">
        <v>51</v>
      </c>
      <c r="N543">
        <v>125878</v>
      </c>
      <c r="O543">
        <v>3</v>
      </c>
      <c r="P543">
        <v>4</v>
      </c>
      <c r="Q543">
        <v>0</v>
      </c>
      <c r="R543">
        <v>18</v>
      </c>
      <c r="S543">
        <v>0</v>
      </c>
      <c r="T543">
        <v>2</v>
      </c>
      <c r="U543">
        <v>3</v>
      </c>
      <c r="V543">
        <v>29</v>
      </c>
      <c r="W543">
        <v>1</v>
      </c>
    </row>
    <row r="544" spans="1:23" x14ac:dyDescent="0.25">
      <c r="A544" s="1" t="s">
        <v>23</v>
      </c>
      <c r="B544" s="1" t="s">
        <v>24</v>
      </c>
      <c r="C544" s="1" t="s">
        <v>34</v>
      </c>
      <c r="D544" s="1" t="s">
        <v>26</v>
      </c>
      <c r="E544" s="1" t="s">
        <v>55</v>
      </c>
      <c r="F544" s="1" t="s">
        <v>68</v>
      </c>
      <c r="G544" s="1" t="s">
        <v>602</v>
      </c>
      <c r="H544">
        <v>543</v>
      </c>
      <c r="I544" s="1" t="s">
        <v>36</v>
      </c>
      <c r="J544" s="1" t="s">
        <v>86</v>
      </c>
      <c r="K544" s="1" t="s">
        <v>32</v>
      </c>
      <c r="L544" s="1" t="s">
        <v>23</v>
      </c>
      <c r="M544">
        <v>57</v>
      </c>
      <c r="N544">
        <v>149562</v>
      </c>
      <c r="O544">
        <v>3</v>
      </c>
      <c r="P544">
        <v>2</v>
      </c>
      <c r="Q544">
        <v>27</v>
      </c>
      <c r="R544">
        <v>10</v>
      </c>
      <c r="S544">
        <v>2</v>
      </c>
      <c r="T544">
        <v>1</v>
      </c>
      <c r="U544">
        <v>4</v>
      </c>
      <c r="V544">
        <v>5</v>
      </c>
      <c r="W544">
        <v>2</v>
      </c>
    </row>
    <row r="545" spans="1:23" x14ac:dyDescent="0.25">
      <c r="A545" s="1" t="s">
        <v>23</v>
      </c>
      <c r="B545" s="1" t="s">
        <v>24</v>
      </c>
      <c r="C545" s="1" t="s">
        <v>25</v>
      </c>
      <c r="D545" s="1" t="s">
        <v>26</v>
      </c>
      <c r="E545" s="1" t="s">
        <v>40</v>
      </c>
      <c r="F545" s="1" t="s">
        <v>52</v>
      </c>
      <c r="G545" s="1" t="s">
        <v>603</v>
      </c>
      <c r="H545">
        <v>544</v>
      </c>
      <c r="I545" s="1" t="s">
        <v>30</v>
      </c>
      <c r="J545" s="1" t="s">
        <v>86</v>
      </c>
      <c r="K545" s="1" t="s">
        <v>38</v>
      </c>
      <c r="L545" s="1" t="s">
        <v>23</v>
      </c>
      <c r="M545">
        <v>46</v>
      </c>
      <c r="N545">
        <v>117737</v>
      </c>
      <c r="O545">
        <v>2</v>
      </c>
      <c r="P545">
        <v>1</v>
      </c>
      <c r="Q545">
        <v>23</v>
      </c>
      <c r="R545">
        <v>41</v>
      </c>
      <c r="S545">
        <v>3</v>
      </c>
      <c r="T545">
        <v>2</v>
      </c>
      <c r="U545">
        <v>4</v>
      </c>
      <c r="V545">
        <v>4</v>
      </c>
      <c r="W545">
        <v>1</v>
      </c>
    </row>
    <row r="546" spans="1:23" x14ac:dyDescent="0.25">
      <c r="A546" s="1" t="s">
        <v>23</v>
      </c>
      <c r="B546" s="1" t="s">
        <v>24</v>
      </c>
      <c r="C546" s="1" t="s">
        <v>39</v>
      </c>
      <c r="D546" s="1" t="s">
        <v>26</v>
      </c>
      <c r="E546" s="1" t="s">
        <v>27</v>
      </c>
      <c r="F546" s="1" t="s">
        <v>28</v>
      </c>
      <c r="G546" s="1" t="s">
        <v>604</v>
      </c>
      <c r="H546">
        <v>545</v>
      </c>
      <c r="I546" s="1" t="s">
        <v>36</v>
      </c>
      <c r="J546" s="1" t="s">
        <v>70</v>
      </c>
      <c r="K546" s="1" t="s">
        <v>32</v>
      </c>
      <c r="L546" s="1" t="s">
        <v>33</v>
      </c>
      <c r="M546">
        <v>25</v>
      </c>
      <c r="N546">
        <v>73550</v>
      </c>
      <c r="O546">
        <v>1</v>
      </c>
      <c r="P546">
        <v>3</v>
      </c>
      <c r="Q546">
        <v>12</v>
      </c>
      <c r="R546">
        <v>35</v>
      </c>
      <c r="S546">
        <v>1</v>
      </c>
      <c r="T546">
        <v>1</v>
      </c>
      <c r="U546">
        <v>3</v>
      </c>
      <c r="V546">
        <v>9</v>
      </c>
      <c r="W546">
        <v>1</v>
      </c>
    </row>
    <row r="547" spans="1:23" x14ac:dyDescent="0.25">
      <c r="A547" s="1" t="s">
        <v>33</v>
      </c>
      <c r="B547" s="1" t="s">
        <v>44</v>
      </c>
      <c r="C547" s="1" t="s">
        <v>39</v>
      </c>
      <c r="D547" s="1" t="s">
        <v>73</v>
      </c>
      <c r="E547" s="1" t="s">
        <v>51</v>
      </c>
      <c r="F547" s="1" t="s">
        <v>66</v>
      </c>
      <c r="G547" s="1" t="s">
        <v>605</v>
      </c>
      <c r="H547">
        <v>546</v>
      </c>
      <c r="I547" s="1" t="s">
        <v>30</v>
      </c>
      <c r="J547" s="1" t="s">
        <v>37</v>
      </c>
      <c r="K547" s="1" t="s">
        <v>50</v>
      </c>
      <c r="L547" s="1" t="s">
        <v>23</v>
      </c>
      <c r="M547">
        <v>21</v>
      </c>
      <c r="N547">
        <v>111493</v>
      </c>
      <c r="O547">
        <v>3</v>
      </c>
      <c r="P547">
        <v>4</v>
      </c>
      <c r="Q547">
        <v>32</v>
      </c>
      <c r="R547">
        <v>12</v>
      </c>
      <c r="S547">
        <v>2</v>
      </c>
      <c r="T547">
        <v>4</v>
      </c>
      <c r="U547">
        <v>4</v>
      </c>
      <c r="V547">
        <v>5</v>
      </c>
      <c r="W547">
        <v>1</v>
      </c>
    </row>
    <row r="548" spans="1:23" x14ac:dyDescent="0.25">
      <c r="A548" s="1" t="s">
        <v>23</v>
      </c>
      <c r="B548" s="1" t="s">
        <v>24</v>
      </c>
      <c r="C548" s="1" t="s">
        <v>65</v>
      </c>
      <c r="D548" s="1" t="s">
        <v>26</v>
      </c>
      <c r="E548" s="1" t="s">
        <v>51</v>
      </c>
      <c r="F548" s="1" t="s">
        <v>41</v>
      </c>
      <c r="G548" s="1" t="s">
        <v>606</v>
      </c>
      <c r="H548">
        <v>547</v>
      </c>
      <c r="I548" s="1" t="s">
        <v>30</v>
      </c>
      <c r="J548" s="1" t="s">
        <v>64</v>
      </c>
      <c r="K548" s="1" t="s">
        <v>32</v>
      </c>
      <c r="L548" s="1" t="s">
        <v>23</v>
      </c>
      <c r="M548">
        <v>51</v>
      </c>
      <c r="N548">
        <v>171710</v>
      </c>
      <c r="O548">
        <v>1</v>
      </c>
      <c r="P548">
        <v>3</v>
      </c>
      <c r="Q548">
        <v>10</v>
      </c>
      <c r="R548">
        <v>9</v>
      </c>
      <c r="S548">
        <v>5</v>
      </c>
      <c r="T548">
        <v>4</v>
      </c>
      <c r="U548">
        <v>3</v>
      </c>
      <c r="V548">
        <v>29</v>
      </c>
      <c r="W548">
        <v>1</v>
      </c>
    </row>
    <row r="549" spans="1:23" x14ac:dyDescent="0.25">
      <c r="A549" s="1" t="s">
        <v>33</v>
      </c>
      <c r="B549" s="1" t="s">
        <v>54</v>
      </c>
      <c r="C549" s="1" t="s">
        <v>34</v>
      </c>
      <c r="D549" s="1" t="s">
        <v>73</v>
      </c>
      <c r="E549" s="1" t="s">
        <v>55</v>
      </c>
      <c r="F549" s="1" t="s">
        <v>52</v>
      </c>
      <c r="G549" s="1" t="s">
        <v>607</v>
      </c>
      <c r="H549">
        <v>548</v>
      </c>
      <c r="I549" s="1" t="s">
        <v>30</v>
      </c>
      <c r="J549" s="1" t="s">
        <v>70</v>
      </c>
      <c r="K549" s="1" t="s">
        <v>32</v>
      </c>
      <c r="L549" s="1" t="s">
        <v>23</v>
      </c>
      <c r="M549">
        <v>49</v>
      </c>
      <c r="N549">
        <v>52392</v>
      </c>
      <c r="O549">
        <v>3</v>
      </c>
      <c r="P549">
        <v>3</v>
      </c>
      <c r="Q549">
        <v>23</v>
      </c>
      <c r="R549">
        <v>39</v>
      </c>
      <c r="S549">
        <v>6</v>
      </c>
      <c r="T549">
        <v>4</v>
      </c>
      <c r="U549">
        <v>3</v>
      </c>
      <c r="V549">
        <v>29</v>
      </c>
      <c r="W549">
        <v>4</v>
      </c>
    </row>
    <row r="550" spans="1:23" x14ac:dyDescent="0.25">
      <c r="A550" s="1" t="s">
        <v>23</v>
      </c>
      <c r="B550" s="1" t="s">
        <v>24</v>
      </c>
      <c r="C550" s="1" t="s">
        <v>57</v>
      </c>
      <c r="D550" s="1" t="s">
        <v>26</v>
      </c>
      <c r="E550" s="1" t="s">
        <v>51</v>
      </c>
      <c r="F550" s="1" t="s">
        <v>28</v>
      </c>
      <c r="G550" s="1" t="s">
        <v>608</v>
      </c>
      <c r="H550">
        <v>549</v>
      </c>
      <c r="I550" s="1" t="s">
        <v>36</v>
      </c>
      <c r="J550" s="1" t="s">
        <v>31</v>
      </c>
      <c r="K550" s="1" t="s">
        <v>50</v>
      </c>
      <c r="L550" s="1" t="s">
        <v>33</v>
      </c>
      <c r="M550">
        <v>40</v>
      </c>
      <c r="N550">
        <v>161428</v>
      </c>
      <c r="O550">
        <v>1</v>
      </c>
      <c r="P550">
        <v>4</v>
      </c>
      <c r="Q550">
        <v>6</v>
      </c>
      <c r="R550">
        <v>29</v>
      </c>
      <c r="S550">
        <v>2</v>
      </c>
      <c r="T550">
        <v>2</v>
      </c>
      <c r="U550">
        <v>4</v>
      </c>
      <c r="V550">
        <v>6</v>
      </c>
      <c r="W550">
        <v>1</v>
      </c>
    </row>
    <row r="551" spans="1:23" x14ac:dyDescent="0.25">
      <c r="A551" s="1" t="s">
        <v>23</v>
      </c>
      <c r="B551" s="1" t="s">
        <v>24</v>
      </c>
      <c r="C551" s="1" t="s">
        <v>34</v>
      </c>
      <c r="D551" s="1" t="s">
        <v>26</v>
      </c>
      <c r="E551" s="1" t="s">
        <v>60</v>
      </c>
      <c r="F551" s="1" t="s">
        <v>28</v>
      </c>
      <c r="G551" s="1" t="s">
        <v>609</v>
      </c>
      <c r="H551">
        <v>550</v>
      </c>
      <c r="I551" s="1" t="s">
        <v>36</v>
      </c>
      <c r="J551" s="1" t="s">
        <v>76</v>
      </c>
      <c r="K551" s="1" t="s">
        <v>38</v>
      </c>
      <c r="L551" s="1" t="s">
        <v>23</v>
      </c>
      <c r="M551">
        <v>49</v>
      </c>
      <c r="N551">
        <v>54817</v>
      </c>
      <c r="O551">
        <v>1</v>
      </c>
      <c r="P551">
        <v>4</v>
      </c>
      <c r="Q551">
        <v>2</v>
      </c>
      <c r="R551">
        <v>23</v>
      </c>
      <c r="S551">
        <v>6</v>
      </c>
      <c r="T551">
        <v>3</v>
      </c>
      <c r="U551">
        <v>4</v>
      </c>
      <c r="V551">
        <v>14</v>
      </c>
      <c r="W551">
        <v>5</v>
      </c>
    </row>
    <row r="552" spans="1:23" x14ac:dyDescent="0.25">
      <c r="A552" s="1" t="s">
        <v>33</v>
      </c>
      <c r="B552" s="1" t="s">
        <v>54</v>
      </c>
      <c r="C552" s="1" t="s">
        <v>34</v>
      </c>
      <c r="D552" s="1" t="s">
        <v>73</v>
      </c>
      <c r="E552" s="1" t="s">
        <v>27</v>
      </c>
      <c r="F552" s="1" t="s">
        <v>41</v>
      </c>
      <c r="G552" s="1" t="s">
        <v>610</v>
      </c>
      <c r="H552">
        <v>551</v>
      </c>
      <c r="I552" s="1" t="s">
        <v>36</v>
      </c>
      <c r="J552" s="1" t="s">
        <v>37</v>
      </c>
      <c r="K552" s="1" t="s">
        <v>50</v>
      </c>
      <c r="L552" s="1" t="s">
        <v>23</v>
      </c>
      <c r="M552">
        <v>53</v>
      </c>
      <c r="N552">
        <v>135988</v>
      </c>
      <c r="O552">
        <v>3</v>
      </c>
      <c r="P552">
        <v>1</v>
      </c>
      <c r="Q552">
        <v>39</v>
      </c>
      <c r="R552">
        <v>41</v>
      </c>
      <c r="S552">
        <v>0</v>
      </c>
      <c r="T552">
        <v>2</v>
      </c>
      <c r="U552">
        <v>3</v>
      </c>
      <c r="V552">
        <v>5</v>
      </c>
      <c r="W552">
        <v>1</v>
      </c>
    </row>
    <row r="553" spans="1:23" x14ac:dyDescent="0.25">
      <c r="A553" s="1" t="s">
        <v>23</v>
      </c>
      <c r="B553" s="1" t="s">
        <v>24</v>
      </c>
      <c r="C553" s="1" t="s">
        <v>34</v>
      </c>
      <c r="D553" s="1" t="s">
        <v>26</v>
      </c>
      <c r="E553" s="1" t="s">
        <v>40</v>
      </c>
      <c r="F553" s="1" t="s">
        <v>28</v>
      </c>
      <c r="G553" s="1" t="s">
        <v>611</v>
      </c>
      <c r="H553">
        <v>552</v>
      </c>
      <c r="I553" s="1" t="s">
        <v>36</v>
      </c>
      <c r="J553" s="1" t="s">
        <v>86</v>
      </c>
      <c r="K553" s="1" t="s">
        <v>32</v>
      </c>
      <c r="L553" s="1" t="s">
        <v>33</v>
      </c>
      <c r="M553">
        <v>43</v>
      </c>
      <c r="N553">
        <v>140127</v>
      </c>
      <c r="O553">
        <v>4</v>
      </c>
      <c r="P553">
        <v>4</v>
      </c>
      <c r="Q553">
        <v>6</v>
      </c>
      <c r="R553">
        <v>5</v>
      </c>
      <c r="S553">
        <v>1</v>
      </c>
      <c r="T553">
        <v>1</v>
      </c>
      <c r="U553">
        <v>4</v>
      </c>
      <c r="V553">
        <v>25</v>
      </c>
      <c r="W553">
        <v>4</v>
      </c>
    </row>
    <row r="554" spans="1:23" x14ac:dyDescent="0.25">
      <c r="A554" s="1" t="s">
        <v>23</v>
      </c>
      <c r="B554" s="1" t="s">
        <v>44</v>
      </c>
      <c r="C554" s="1" t="s">
        <v>34</v>
      </c>
      <c r="D554" s="1" t="s">
        <v>26</v>
      </c>
      <c r="E554" s="1" t="s">
        <v>27</v>
      </c>
      <c r="F554" s="1" t="s">
        <v>41</v>
      </c>
      <c r="G554" s="1" t="s">
        <v>612</v>
      </c>
      <c r="H554">
        <v>553</v>
      </c>
      <c r="I554" s="1" t="s">
        <v>36</v>
      </c>
      <c r="J554" s="1" t="s">
        <v>48</v>
      </c>
      <c r="K554" s="1" t="s">
        <v>32</v>
      </c>
      <c r="L554" s="1" t="s">
        <v>23</v>
      </c>
      <c r="M554">
        <v>28</v>
      </c>
      <c r="N554">
        <v>90974</v>
      </c>
      <c r="O554">
        <v>4</v>
      </c>
      <c r="P554">
        <v>1</v>
      </c>
      <c r="Q554">
        <v>34</v>
      </c>
      <c r="R554">
        <v>9</v>
      </c>
      <c r="S554">
        <v>3</v>
      </c>
      <c r="T554">
        <v>2</v>
      </c>
      <c r="U554">
        <v>3</v>
      </c>
      <c r="V554">
        <v>11</v>
      </c>
      <c r="W554">
        <v>5</v>
      </c>
    </row>
    <row r="555" spans="1:23" x14ac:dyDescent="0.25">
      <c r="A555" s="1" t="s">
        <v>23</v>
      </c>
      <c r="B555" s="1" t="s">
        <v>24</v>
      </c>
      <c r="C555" s="1" t="s">
        <v>39</v>
      </c>
      <c r="D555" s="1" t="s">
        <v>26</v>
      </c>
      <c r="E555" s="1" t="s">
        <v>40</v>
      </c>
      <c r="F555" s="1" t="s">
        <v>46</v>
      </c>
      <c r="G555" s="1" t="s">
        <v>613</v>
      </c>
      <c r="H555">
        <v>554</v>
      </c>
      <c r="I555" s="1" t="s">
        <v>36</v>
      </c>
      <c r="J555" s="1" t="s">
        <v>86</v>
      </c>
      <c r="K555" s="1" t="s">
        <v>50</v>
      </c>
      <c r="L555" s="1" t="s">
        <v>33</v>
      </c>
      <c r="M555">
        <v>34</v>
      </c>
      <c r="N555">
        <v>24014</v>
      </c>
      <c r="O555">
        <v>4</v>
      </c>
      <c r="P555">
        <v>3</v>
      </c>
      <c r="Q555">
        <v>16</v>
      </c>
      <c r="R555">
        <v>40</v>
      </c>
      <c r="S555">
        <v>1</v>
      </c>
      <c r="T555">
        <v>1</v>
      </c>
      <c r="U555">
        <v>3</v>
      </c>
      <c r="V555">
        <v>3</v>
      </c>
      <c r="W555">
        <v>3</v>
      </c>
    </row>
    <row r="556" spans="1:23" x14ac:dyDescent="0.25">
      <c r="A556" s="1" t="s">
        <v>23</v>
      </c>
      <c r="B556" s="1" t="s">
        <v>44</v>
      </c>
      <c r="C556" s="1" t="s">
        <v>34</v>
      </c>
      <c r="D556" s="1" t="s">
        <v>26</v>
      </c>
      <c r="E556" s="1" t="s">
        <v>46</v>
      </c>
      <c r="F556" s="1" t="s">
        <v>68</v>
      </c>
      <c r="G556" s="1" t="s">
        <v>614</v>
      </c>
      <c r="H556">
        <v>555</v>
      </c>
      <c r="I556" s="1" t="s">
        <v>30</v>
      </c>
      <c r="J556" s="1" t="s">
        <v>76</v>
      </c>
      <c r="K556" s="1" t="s">
        <v>50</v>
      </c>
      <c r="L556" s="1" t="s">
        <v>33</v>
      </c>
      <c r="M556">
        <v>26</v>
      </c>
      <c r="N556">
        <v>130337</v>
      </c>
      <c r="O556">
        <v>3</v>
      </c>
      <c r="P556">
        <v>3</v>
      </c>
      <c r="Q556">
        <v>10</v>
      </c>
      <c r="R556">
        <v>12</v>
      </c>
      <c r="S556">
        <v>2</v>
      </c>
      <c r="T556">
        <v>4</v>
      </c>
      <c r="U556">
        <v>4</v>
      </c>
      <c r="V556">
        <v>16</v>
      </c>
      <c r="W556">
        <v>5</v>
      </c>
    </row>
    <row r="557" spans="1:23" x14ac:dyDescent="0.25">
      <c r="A557" s="1" t="s">
        <v>23</v>
      </c>
      <c r="B557" s="1" t="s">
        <v>44</v>
      </c>
      <c r="C557" s="1" t="s">
        <v>34</v>
      </c>
      <c r="D557" s="1" t="s">
        <v>26</v>
      </c>
      <c r="E557" s="1" t="s">
        <v>46</v>
      </c>
      <c r="F557" s="1" t="s">
        <v>46</v>
      </c>
      <c r="G557" s="1" t="s">
        <v>615</v>
      </c>
      <c r="H557">
        <v>556</v>
      </c>
      <c r="I557" s="1" t="s">
        <v>36</v>
      </c>
      <c r="J557" s="1" t="s">
        <v>64</v>
      </c>
      <c r="K557" s="1" t="s">
        <v>32</v>
      </c>
      <c r="L557" s="1" t="s">
        <v>33</v>
      </c>
      <c r="M557">
        <v>25</v>
      </c>
      <c r="N557">
        <v>169647</v>
      </c>
      <c r="O557">
        <v>2</v>
      </c>
      <c r="P557">
        <v>3</v>
      </c>
      <c r="Q557">
        <v>20</v>
      </c>
      <c r="R557">
        <v>0</v>
      </c>
      <c r="S557">
        <v>1</v>
      </c>
      <c r="T557">
        <v>4</v>
      </c>
      <c r="U557">
        <v>3</v>
      </c>
      <c r="V557">
        <v>16</v>
      </c>
      <c r="W557">
        <v>3</v>
      </c>
    </row>
    <row r="558" spans="1:23" x14ac:dyDescent="0.25">
      <c r="A558" s="1" t="s">
        <v>23</v>
      </c>
      <c r="B558" s="1" t="s">
        <v>44</v>
      </c>
      <c r="C558" s="1" t="s">
        <v>57</v>
      </c>
      <c r="D558" s="1" t="s">
        <v>26</v>
      </c>
      <c r="E558" s="1" t="s">
        <v>40</v>
      </c>
      <c r="F558" s="1" t="s">
        <v>41</v>
      </c>
      <c r="G558" s="1" t="s">
        <v>616</v>
      </c>
      <c r="H558">
        <v>557</v>
      </c>
      <c r="I558" s="1" t="s">
        <v>30</v>
      </c>
      <c r="J558" s="1" t="s">
        <v>86</v>
      </c>
      <c r="K558" s="1" t="s">
        <v>50</v>
      </c>
      <c r="L558" s="1" t="s">
        <v>23</v>
      </c>
      <c r="M558">
        <v>58</v>
      </c>
      <c r="N558">
        <v>43544</v>
      </c>
      <c r="O558">
        <v>1</v>
      </c>
      <c r="P558">
        <v>2</v>
      </c>
      <c r="Q558">
        <v>12</v>
      </c>
      <c r="R558">
        <v>26</v>
      </c>
      <c r="S558">
        <v>5</v>
      </c>
      <c r="T558">
        <v>2</v>
      </c>
      <c r="U558">
        <v>4</v>
      </c>
      <c r="V558">
        <v>7</v>
      </c>
      <c r="W558">
        <v>3</v>
      </c>
    </row>
    <row r="559" spans="1:23" x14ac:dyDescent="0.25">
      <c r="A559" s="1" t="s">
        <v>23</v>
      </c>
      <c r="B559" s="1" t="s">
        <v>54</v>
      </c>
      <c r="C559" s="1" t="s">
        <v>34</v>
      </c>
      <c r="D559" s="1" t="s">
        <v>26</v>
      </c>
      <c r="E559" s="1" t="s">
        <v>46</v>
      </c>
      <c r="F559" s="1" t="s">
        <v>66</v>
      </c>
      <c r="G559" s="1" t="s">
        <v>617</v>
      </c>
      <c r="H559">
        <v>558</v>
      </c>
      <c r="I559" s="1" t="s">
        <v>36</v>
      </c>
      <c r="J559" s="1" t="s">
        <v>37</v>
      </c>
      <c r="K559" s="1" t="s">
        <v>50</v>
      </c>
      <c r="L559" s="1" t="s">
        <v>23</v>
      </c>
      <c r="M559">
        <v>40</v>
      </c>
      <c r="N559">
        <v>149618</v>
      </c>
      <c r="O559">
        <v>1</v>
      </c>
      <c r="P559">
        <v>4</v>
      </c>
      <c r="Q559">
        <v>29</v>
      </c>
      <c r="R559">
        <v>26</v>
      </c>
      <c r="S559">
        <v>3</v>
      </c>
      <c r="T559">
        <v>3</v>
      </c>
      <c r="U559">
        <v>4</v>
      </c>
      <c r="V559">
        <v>27</v>
      </c>
      <c r="W559">
        <v>5</v>
      </c>
    </row>
    <row r="560" spans="1:23" x14ac:dyDescent="0.25">
      <c r="A560" s="1" t="s">
        <v>23</v>
      </c>
      <c r="B560" s="1" t="s">
        <v>24</v>
      </c>
      <c r="C560" s="1" t="s">
        <v>57</v>
      </c>
      <c r="D560" s="1" t="s">
        <v>26</v>
      </c>
      <c r="E560" s="1" t="s">
        <v>27</v>
      </c>
      <c r="F560" s="1" t="s">
        <v>28</v>
      </c>
      <c r="G560" s="1" t="s">
        <v>618</v>
      </c>
      <c r="H560">
        <v>559</v>
      </c>
      <c r="I560" s="1" t="s">
        <v>36</v>
      </c>
      <c r="J560" s="1" t="s">
        <v>41</v>
      </c>
      <c r="K560" s="1" t="s">
        <v>38</v>
      </c>
      <c r="L560" s="1" t="s">
        <v>33</v>
      </c>
      <c r="M560">
        <v>56</v>
      </c>
      <c r="N560">
        <v>173947</v>
      </c>
      <c r="O560">
        <v>2</v>
      </c>
      <c r="P560">
        <v>4</v>
      </c>
      <c r="Q560">
        <v>24</v>
      </c>
      <c r="R560">
        <v>18</v>
      </c>
      <c r="S560">
        <v>6</v>
      </c>
      <c r="T560">
        <v>4</v>
      </c>
      <c r="U560">
        <v>4</v>
      </c>
      <c r="V560">
        <v>23</v>
      </c>
      <c r="W560">
        <v>5</v>
      </c>
    </row>
    <row r="561" spans="1:23" x14ac:dyDescent="0.25">
      <c r="A561" s="1" t="s">
        <v>33</v>
      </c>
      <c r="B561" s="1" t="s">
        <v>24</v>
      </c>
      <c r="C561" s="1" t="s">
        <v>65</v>
      </c>
      <c r="D561" s="1" t="s">
        <v>73</v>
      </c>
      <c r="E561" s="1" t="s">
        <v>60</v>
      </c>
      <c r="F561" s="1" t="s">
        <v>66</v>
      </c>
      <c r="G561" s="1" t="s">
        <v>619</v>
      </c>
      <c r="H561">
        <v>560</v>
      </c>
      <c r="I561" s="1" t="s">
        <v>30</v>
      </c>
      <c r="J561" s="1" t="s">
        <v>64</v>
      </c>
      <c r="K561" s="1" t="s">
        <v>32</v>
      </c>
      <c r="L561" s="1" t="s">
        <v>23</v>
      </c>
      <c r="M561">
        <v>27</v>
      </c>
      <c r="N561">
        <v>148129</v>
      </c>
      <c r="O561">
        <v>1</v>
      </c>
      <c r="P561">
        <v>4</v>
      </c>
      <c r="Q561">
        <v>32</v>
      </c>
      <c r="R561">
        <v>37</v>
      </c>
      <c r="S561">
        <v>6</v>
      </c>
      <c r="T561">
        <v>1</v>
      </c>
      <c r="U561">
        <v>4</v>
      </c>
      <c r="V561">
        <v>28</v>
      </c>
      <c r="W561">
        <v>4</v>
      </c>
    </row>
    <row r="562" spans="1:23" x14ac:dyDescent="0.25">
      <c r="A562" s="1" t="s">
        <v>23</v>
      </c>
      <c r="B562" s="1" t="s">
        <v>44</v>
      </c>
      <c r="C562" s="1" t="s">
        <v>65</v>
      </c>
      <c r="D562" s="1" t="s">
        <v>26</v>
      </c>
      <c r="E562" s="1" t="s">
        <v>51</v>
      </c>
      <c r="F562" s="1" t="s">
        <v>66</v>
      </c>
      <c r="G562" s="1" t="s">
        <v>620</v>
      </c>
      <c r="H562">
        <v>561</v>
      </c>
      <c r="I562" s="1" t="s">
        <v>30</v>
      </c>
      <c r="J562" s="1" t="s">
        <v>86</v>
      </c>
      <c r="K562" s="1" t="s">
        <v>50</v>
      </c>
      <c r="L562" s="1" t="s">
        <v>23</v>
      </c>
      <c r="M562">
        <v>50</v>
      </c>
      <c r="N562">
        <v>126248</v>
      </c>
      <c r="O562">
        <v>4</v>
      </c>
      <c r="P562">
        <v>1</v>
      </c>
      <c r="Q562">
        <v>23</v>
      </c>
      <c r="R562">
        <v>14</v>
      </c>
      <c r="S562">
        <v>4</v>
      </c>
      <c r="T562">
        <v>3</v>
      </c>
      <c r="U562">
        <v>4</v>
      </c>
      <c r="V562">
        <v>29</v>
      </c>
      <c r="W562">
        <v>3</v>
      </c>
    </row>
    <row r="563" spans="1:23" x14ac:dyDescent="0.25">
      <c r="A563" s="1" t="s">
        <v>23</v>
      </c>
      <c r="B563" s="1" t="s">
        <v>54</v>
      </c>
      <c r="C563" s="1" t="s">
        <v>65</v>
      </c>
      <c r="D563" s="1" t="s">
        <v>26</v>
      </c>
      <c r="E563" s="1" t="s">
        <v>40</v>
      </c>
      <c r="F563" s="1" t="s">
        <v>28</v>
      </c>
      <c r="G563" s="1" t="s">
        <v>621</v>
      </c>
      <c r="H563">
        <v>562</v>
      </c>
      <c r="I563" s="1" t="s">
        <v>30</v>
      </c>
      <c r="J563" s="1" t="s">
        <v>41</v>
      </c>
      <c r="K563" s="1" t="s">
        <v>50</v>
      </c>
      <c r="L563" s="1" t="s">
        <v>33</v>
      </c>
      <c r="M563">
        <v>22</v>
      </c>
      <c r="N563">
        <v>58206</v>
      </c>
      <c r="O563">
        <v>3</v>
      </c>
      <c r="P563">
        <v>3</v>
      </c>
      <c r="Q563">
        <v>21</v>
      </c>
      <c r="R563">
        <v>10</v>
      </c>
      <c r="S563">
        <v>4</v>
      </c>
      <c r="T563">
        <v>4</v>
      </c>
      <c r="U563">
        <v>3</v>
      </c>
      <c r="V563">
        <v>18</v>
      </c>
      <c r="W563">
        <v>4</v>
      </c>
    </row>
    <row r="564" spans="1:23" x14ac:dyDescent="0.25">
      <c r="A564" s="1" t="s">
        <v>23</v>
      </c>
      <c r="B564" s="1" t="s">
        <v>54</v>
      </c>
      <c r="C564" s="1" t="s">
        <v>39</v>
      </c>
      <c r="D564" s="1" t="s">
        <v>26</v>
      </c>
      <c r="E564" s="1" t="s">
        <v>60</v>
      </c>
      <c r="F564" s="1" t="s">
        <v>68</v>
      </c>
      <c r="G564" s="1" t="s">
        <v>622</v>
      </c>
      <c r="H564">
        <v>563</v>
      </c>
      <c r="I564" s="1" t="s">
        <v>30</v>
      </c>
      <c r="J564" s="1" t="s">
        <v>41</v>
      </c>
      <c r="K564" s="1" t="s">
        <v>32</v>
      </c>
      <c r="L564" s="1" t="s">
        <v>33</v>
      </c>
      <c r="M564">
        <v>46</v>
      </c>
      <c r="N564">
        <v>101394</v>
      </c>
      <c r="O564">
        <v>2</v>
      </c>
      <c r="P564">
        <v>4</v>
      </c>
      <c r="Q564">
        <v>14</v>
      </c>
      <c r="R564">
        <v>6</v>
      </c>
      <c r="S564">
        <v>5</v>
      </c>
      <c r="T564">
        <v>2</v>
      </c>
      <c r="U564">
        <v>3</v>
      </c>
      <c r="V564">
        <v>21</v>
      </c>
      <c r="W564">
        <v>5</v>
      </c>
    </row>
    <row r="565" spans="1:23" x14ac:dyDescent="0.25">
      <c r="A565" s="1" t="s">
        <v>23</v>
      </c>
      <c r="B565" s="1" t="s">
        <v>44</v>
      </c>
      <c r="C565" s="1" t="s">
        <v>65</v>
      </c>
      <c r="D565" s="1" t="s">
        <v>26</v>
      </c>
      <c r="E565" s="1" t="s">
        <v>46</v>
      </c>
      <c r="F565" s="1" t="s">
        <v>41</v>
      </c>
      <c r="G565" s="1" t="s">
        <v>623</v>
      </c>
      <c r="H565">
        <v>564</v>
      </c>
      <c r="I565" s="1" t="s">
        <v>30</v>
      </c>
      <c r="J565" s="1" t="s">
        <v>37</v>
      </c>
      <c r="K565" s="1" t="s">
        <v>50</v>
      </c>
      <c r="L565" s="1" t="s">
        <v>33</v>
      </c>
      <c r="M565">
        <v>26</v>
      </c>
      <c r="N565">
        <v>24721</v>
      </c>
      <c r="O565">
        <v>4</v>
      </c>
      <c r="P565">
        <v>1</v>
      </c>
      <c r="Q565">
        <v>40</v>
      </c>
      <c r="R565">
        <v>37</v>
      </c>
      <c r="S565">
        <v>1</v>
      </c>
      <c r="T565">
        <v>1</v>
      </c>
      <c r="U565">
        <v>3</v>
      </c>
      <c r="V565">
        <v>19</v>
      </c>
      <c r="W565">
        <v>4</v>
      </c>
    </row>
    <row r="566" spans="1:23" x14ac:dyDescent="0.25">
      <c r="A566" s="1" t="s">
        <v>23</v>
      </c>
      <c r="B566" s="1" t="s">
        <v>54</v>
      </c>
      <c r="C566" s="1" t="s">
        <v>39</v>
      </c>
      <c r="D566" s="1" t="s">
        <v>26</v>
      </c>
      <c r="E566" s="1" t="s">
        <v>40</v>
      </c>
      <c r="F566" s="1" t="s">
        <v>52</v>
      </c>
      <c r="G566" s="1" t="s">
        <v>624</v>
      </c>
      <c r="H566">
        <v>565</v>
      </c>
      <c r="I566" s="1" t="s">
        <v>36</v>
      </c>
      <c r="J566" s="1" t="s">
        <v>70</v>
      </c>
      <c r="K566" s="1" t="s">
        <v>50</v>
      </c>
      <c r="L566" s="1" t="s">
        <v>33</v>
      </c>
      <c r="M566">
        <v>40</v>
      </c>
      <c r="N566">
        <v>68811</v>
      </c>
      <c r="O566">
        <v>2</v>
      </c>
      <c r="P566">
        <v>4</v>
      </c>
      <c r="Q566">
        <v>16</v>
      </c>
      <c r="R566">
        <v>42</v>
      </c>
      <c r="S566">
        <v>0</v>
      </c>
      <c r="T566">
        <v>3</v>
      </c>
      <c r="U566">
        <v>3</v>
      </c>
      <c r="V566">
        <v>30</v>
      </c>
      <c r="W566">
        <v>2</v>
      </c>
    </row>
    <row r="567" spans="1:23" x14ac:dyDescent="0.25">
      <c r="A567" s="1" t="s">
        <v>23</v>
      </c>
      <c r="B567" s="1" t="s">
        <v>24</v>
      </c>
      <c r="C567" s="1" t="s">
        <v>39</v>
      </c>
      <c r="D567" s="1" t="s">
        <v>26</v>
      </c>
      <c r="E567" s="1" t="s">
        <v>51</v>
      </c>
      <c r="F567" s="1" t="s">
        <v>66</v>
      </c>
      <c r="G567" s="1" t="s">
        <v>625</v>
      </c>
      <c r="H567">
        <v>566</v>
      </c>
      <c r="I567" s="1" t="s">
        <v>36</v>
      </c>
      <c r="J567" s="1" t="s">
        <v>43</v>
      </c>
      <c r="K567" s="1" t="s">
        <v>50</v>
      </c>
      <c r="L567" s="1" t="s">
        <v>33</v>
      </c>
      <c r="M567">
        <v>30</v>
      </c>
      <c r="N567">
        <v>92045</v>
      </c>
      <c r="O567">
        <v>3</v>
      </c>
      <c r="P567">
        <v>2</v>
      </c>
      <c r="Q567">
        <v>5</v>
      </c>
      <c r="R567">
        <v>4</v>
      </c>
      <c r="S567">
        <v>3</v>
      </c>
      <c r="T567">
        <v>3</v>
      </c>
      <c r="U567">
        <v>3</v>
      </c>
      <c r="V567">
        <v>13</v>
      </c>
      <c r="W567">
        <v>1</v>
      </c>
    </row>
    <row r="568" spans="1:23" x14ac:dyDescent="0.25">
      <c r="A568" s="1" t="s">
        <v>23</v>
      </c>
      <c r="B568" s="1" t="s">
        <v>44</v>
      </c>
      <c r="C568" s="1" t="s">
        <v>25</v>
      </c>
      <c r="D568" s="1" t="s">
        <v>26</v>
      </c>
      <c r="E568" s="1" t="s">
        <v>60</v>
      </c>
      <c r="F568" s="1" t="s">
        <v>52</v>
      </c>
      <c r="G568" s="1" t="s">
        <v>626</v>
      </c>
      <c r="H568">
        <v>567</v>
      </c>
      <c r="I568" s="1" t="s">
        <v>30</v>
      </c>
      <c r="J568" s="1" t="s">
        <v>48</v>
      </c>
      <c r="K568" s="1" t="s">
        <v>32</v>
      </c>
      <c r="L568" s="1" t="s">
        <v>23</v>
      </c>
      <c r="M568">
        <v>45</v>
      </c>
      <c r="N568">
        <v>100204</v>
      </c>
      <c r="O568">
        <v>4</v>
      </c>
      <c r="P568">
        <v>2</v>
      </c>
      <c r="Q568">
        <v>11</v>
      </c>
      <c r="R568">
        <v>19</v>
      </c>
      <c r="S568">
        <v>0</v>
      </c>
      <c r="T568">
        <v>2</v>
      </c>
      <c r="U568">
        <v>3</v>
      </c>
      <c r="V568">
        <v>4</v>
      </c>
      <c r="W568">
        <v>3</v>
      </c>
    </row>
    <row r="569" spans="1:23" x14ac:dyDescent="0.25">
      <c r="A569" s="1" t="s">
        <v>33</v>
      </c>
      <c r="B569" s="1" t="s">
        <v>54</v>
      </c>
      <c r="C569" s="1" t="s">
        <v>39</v>
      </c>
      <c r="D569" s="1" t="s">
        <v>73</v>
      </c>
      <c r="E569" s="1" t="s">
        <v>51</v>
      </c>
      <c r="F569" s="1" t="s">
        <v>41</v>
      </c>
      <c r="G569" s="1" t="s">
        <v>627</v>
      </c>
      <c r="H569">
        <v>568</v>
      </c>
      <c r="I569" s="1" t="s">
        <v>30</v>
      </c>
      <c r="J569" s="1" t="s">
        <v>70</v>
      </c>
      <c r="K569" s="1" t="s">
        <v>32</v>
      </c>
      <c r="L569" s="1" t="s">
        <v>23</v>
      </c>
      <c r="M569">
        <v>28</v>
      </c>
      <c r="N569">
        <v>68553</v>
      </c>
      <c r="O569">
        <v>1</v>
      </c>
      <c r="P569">
        <v>1</v>
      </c>
      <c r="Q569">
        <v>33</v>
      </c>
      <c r="R569">
        <v>32</v>
      </c>
      <c r="S569">
        <v>6</v>
      </c>
      <c r="T569">
        <v>2</v>
      </c>
      <c r="U569">
        <v>3</v>
      </c>
      <c r="V569">
        <v>28</v>
      </c>
      <c r="W569">
        <v>3</v>
      </c>
    </row>
    <row r="570" spans="1:23" x14ac:dyDescent="0.25">
      <c r="A570" s="1" t="s">
        <v>23</v>
      </c>
      <c r="B570" s="1" t="s">
        <v>24</v>
      </c>
      <c r="C570" s="1" t="s">
        <v>34</v>
      </c>
      <c r="D570" s="1" t="s">
        <v>26</v>
      </c>
      <c r="E570" s="1" t="s">
        <v>27</v>
      </c>
      <c r="F570" s="1" t="s">
        <v>28</v>
      </c>
      <c r="G570" s="1" t="s">
        <v>628</v>
      </c>
      <c r="H570">
        <v>569</v>
      </c>
      <c r="I570" s="1" t="s">
        <v>30</v>
      </c>
      <c r="J570" s="1" t="s">
        <v>70</v>
      </c>
      <c r="K570" s="1" t="s">
        <v>38</v>
      </c>
      <c r="L570" s="1" t="s">
        <v>23</v>
      </c>
      <c r="M570">
        <v>51</v>
      </c>
      <c r="N570">
        <v>70228</v>
      </c>
      <c r="O570">
        <v>1</v>
      </c>
      <c r="P570">
        <v>3</v>
      </c>
      <c r="Q570">
        <v>35</v>
      </c>
      <c r="R570">
        <v>41</v>
      </c>
      <c r="S570">
        <v>2</v>
      </c>
      <c r="T570">
        <v>4</v>
      </c>
      <c r="U570">
        <v>4</v>
      </c>
      <c r="V570">
        <v>14</v>
      </c>
      <c r="W570">
        <v>5</v>
      </c>
    </row>
    <row r="571" spans="1:23" x14ac:dyDescent="0.25">
      <c r="A571" s="1" t="s">
        <v>33</v>
      </c>
      <c r="B571" s="1" t="s">
        <v>24</v>
      </c>
      <c r="C571" s="1" t="s">
        <v>65</v>
      </c>
      <c r="D571" s="1" t="s">
        <v>73</v>
      </c>
      <c r="E571" s="1" t="s">
        <v>27</v>
      </c>
      <c r="F571" s="1" t="s">
        <v>28</v>
      </c>
      <c r="G571" s="1" t="s">
        <v>629</v>
      </c>
      <c r="H571">
        <v>570</v>
      </c>
      <c r="I571" s="1" t="s">
        <v>36</v>
      </c>
      <c r="J571" s="1" t="s">
        <v>41</v>
      </c>
      <c r="K571" s="1" t="s">
        <v>50</v>
      </c>
      <c r="L571" s="1" t="s">
        <v>23</v>
      </c>
      <c r="M571">
        <v>31</v>
      </c>
      <c r="N571">
        <v>71957</v>
      </c>
      <c r="O571">
        <v>4</v>
      </c>
      <c r="P571">
        <v>4</v>
      </c>
      <c r="Q571">
        <v>28</v>
      </c>
      <c r="R571">
        <v>27</v>
      </c>
      <c r="S571">
        <v>4</v>
      </c>
      <c r="T571">
        <v>3</v>
      </c>
      <c r="U571">
        <v>4</v>
      </c>
      <c r="V571">
        <v>20</v>
      </c>
      <c r="W571">
        <v>1</v>
      </c>
    </row>
    <row r="572" spans="1:23" x14ac:dyDescent="0.25">
      <c r="A572" s="1" t="s">
        <v>23</v>
      </c>
      <c r="B572" s="1" t="s">
        <v>44</v>
      </c>
      <c r="C572" s="1" t="s">
        <v>34</v>
      </c>
      <c r="D572" s="1" t="s">
        <v>26</v>
      </c>
      <c r="E572" s="1" t="s">
        <v>51</v>
      </c>
      <c r="F572" s="1" t="s">
        <v>46</v>
      </c>
      <c r="G572" s="1" t="s">
        <v>630</v>
      </c>
      <c r="H572">
        <v>571</v>
      </c>
      <c r="I572" s="1" t="s">
        <v>30</v>
      </c>
      <c r="J572" s="1" t="s">
        <v>86</v>
      </c>
      <c r="K572" s="1" t="s">
        <v>50</v>
      </c>
      <c r="L572" s="1" t="s">
        <v>33</v>
      </c>
      <c r="M572">
        <v>53</v>
      </c>
      <c r="N572">
        <v>84339</v>
      </c>
      <c r="O572">
        <v>4</v>
      </c>
      <c r="P572">
        <v>3</v>
      </c>
      <c r="Q572">
        <v>38</v>
      </c>
      <c r="R572">
        <v>41</v>
      </c>
      <c r="S572">
        <v>4</v>
      </c>
      <c r="T572">
        <v>3</v>
      </c>
      <c r="U572">
        <v>4</v>
      </c>
      <c r="V572">
        <v>1</v>
      </c>
      <c r="W572">
        <v>1</v>
      </c>
    </row>
    <row r="573" spans="1:23" x14ac:dyDescent="0.25">
      <c r="A573" s="1" t="s">
        <v>23</v>
      </c>
      <c r="B573" s="1" t="s">
        <v>44</v>
      </c>
      <c r="C573" s="1" t="s">
        <v>34</v>
      </c>
      <c r="D573" s="1" t="s">
        <v>26</v>
      </c>
      <c r="E573" s="1" t="s">
        <v>55</v>
      </c>
      <c r="F573" s="1" t="s">
        <v>28</v>
      </c>
      <c r="G573" s="1" t="s">
        <v>631</v>
      </c>
      <c r="H573">
        <v>572</v>
      </c>
      <c r="I573" s="1" t="s">
        <v>30</v>
      </c>
      <c r="J573" s="1" t="s">
        <v>48</v>
      </c>
      <c r="K573" s="1" t="s">
        <v>32</v>
      </c>
      <c r="L573" s="1" t="s">
        <v>23</v>
      </c>
      <c r="M573">
        <v>44</v>
      </c>
      <c r="N573">
        <v>56021</v>
      </c>
      <c r="O573">
        <v>3</v>
      </c>
      <c r="P573">
        <v>1</v>
      </c>
      <c r="Q573">
        <v>0</v>
      </c>
      <c r="R573">
        <v>20</v>
      </c>
      <c r="S573">
        <v>5</v>
      </c>
      <c r="T573">
        <v>1</v>
      </c>
      <c r="U573">
        <v>4</v>
      </c>
      <c r="V573">
        <v>7</v>
      </c>
      <c r="W573">
        <v>4</v>
      </c>
    </row>
    <row r="574" spans="1:23" x14ac:dyDescent="0.25">
      <c r="A574" s="1" t="s">
        <v>23</v>
      </c>
      <c r="B574" s="1" t="s">
        <v>54</v>
      </c>
      <c r="C574" s="1" t="s">
        <v>34</v>
      </c>
      <c r="D574" s="1" t="s">
        <v>26</v>
      </c>
      <c r="E574" s="1" t="s">
        <v>55</v>
      </c>
      <c r="F574" s="1" t="s">
        <v>66</v>
      </c>
      <c r="G574" s="1" t="s">
        <v>632</v>
      </c>
      <c r="H574">
        <v>573</v>
      </c>
      <c r="I574" s="1" t="s">
        <v>36</v>
      </c>
      <c r="J574" s="1" t="s">
        <v>76</v>
      </c>
      <c r="K574" s="1" t="s">
        <v>32</v>
      </c>
      <c r="L574" s="1" t="s">
        <v>33</v>
      </c>
      <c r="M574">
        <v>54</v>
      </c>
      <c r="N574">
        <v>75006</v>
      </c>
      <c r="O574">
        <v>1</v>
      </c>
      <c r="P574">
        <v>3</v>
      </c>
      <c r="Q574">
        <v>38</v>
      </c>
      <c r="R574">
        <v>42</v>
      </c>
      <c r="S574">
        <v>0</v>
      </c>
      <c r="T574">
        <v>4</v>
      </c>
      <c r="U574">
        <v>4</v>
      </c>
      <c r="V574">
        <v>11</v>
      </c>
      <c r="W574">
        <v>3</v>
      </c>
    </row>
    <row r="575" spans="1:23" x14ac:dyDescent="0.25">
      <c r="A575" s="1" t="s">
        <v>23</v>
      </c>
      <c r="B575" s="1" t="s">
        <v>44</v>
      </c>
      <c r="C575" s="1" t="s">
        <v>25</v>
      </c>
      <c r="D575" s="1" t="s">
        <v>26</v>
      </c>
      <c r="E575" s="1" t="s">
        <v>40</v>
      </c>
      <c r="F575" s="1" t="s">
        <v>66</v>
      </c>
      <c r="G575" s="1" t="s">
        <v>633</v>
      </c>
      <c r="H575">
        <v>574</v>
      </c>
      <c r="I575" s="1" t="s">
        <v>36</v>
      </c>
      <c r="J575" s="1" t="s">
        <v>41</v>
      </c>
      <c r="K575" s="1" t="s">
        <v>50</v>
      </c>
      <c r="L575" s="1" t="s">
        <v>33</v>
      </c>
      <c r="M575">
        <v>49</v>
      </c>
      <c r="N575">
        <v>62863</v>
      </c>
      <c r="O575">
        <v>3</v>
      </c>
      <c r="P575">
        <v>4</v>
      </c>
      <c r="Q575">
        <v>15</v>
      </c>
      <c r="R575">
        <v>36</v>
      </c>
      <c r="S575">
        <v>0</v>
      </c>
      <c r="T575">
        <v>3</v>
      </c>
      <c r="U575">
        <v>3</v>
      </c>
      <c r="V575">
        <v>21</v>
      </c>
      <c r="W575">
        <v>5</v>
      </c>
    </row>
    <row r="576" spans="1:23" x14ac:dyDescent="0.25">
      <c r="A576" s="1" t="s">
        <v>33</v>
      </c>
      <c r="B576" s="1" t="s">
        <v>24</v>
      </c>
      <c r="C576" s="1" t="s">
        <v>65</v>
      </c>
      <c r="D576" s="1" t="s">
        <v>73</v>
      </c>
      <c r="E576" s="1" t="s">
        <v>27</v>
      </c>
      <c r="F576" s="1" t="s">
        <v>68</v>
      </c>
      <c r="G576" s="1" t="s">
        <v>634</v>
      </c>
      <c r="H576">
        <v>575</v>
      </c>
      <c r="I576" s="1" t="s">
        <v>30</v>
      </c>
      <c r="J576" s="1" t="s">
        <v>59</v>
      </c>
      <c r="K576" s="1" t="s">
        <v>32</v>
      </c>
      <c r="L576" s="1" t="s">
        <v>33</v>
      </c>
      <c r="M576">
        <v>42</v>
      </c>
      <c r="N576">
        <v>22265</v>
      </c>
      <c r="O576">
        <v>1</v>
      </c>
      <c r="P576">
        <v>4</v>
      </c>
      <c r="Q576">
        <v>6</v>
      </c>
      <c r="R576">
        <v>26</v>
      </c>
      <c r="S576">
        <v>5</v>
      </c>
      <c r="T576">
        <v>3</v>
      </c>
      <c r="U576">
        <v>4</v>
      </c>
      <c r="V576">
        <v>11</v>
      </c>
      <c r="W576">
        <v>3</v>
      </c>
    </row>
    <row r="577" spans="1:23" x14ac:dyDescent="0.25">
      <c r="A577" s="1" t="s">
        <v>23</v>
      </c>
      <c r="B577" s="1" t="s">
        <v>44</v>
      </c>
      <c r="C577" s="1" t="s">
        <v>39</v>
      </c>
      <c r="D577" s="1" t="s">
        <v>26</v>
      </c>
      <c r="E577" s="1" t="s">
        <v>27</v>
      </c>
      <c r="F577" s="1" t="s">
        <v>41</v>
      </c>
      <c r="G577" s="1" t="s">
        <v>635</v>
      </c>
      <c r="H577">
        <v>576</v>
      </c>
      <c r="I577" s="1" t="s">
        <v>30</v>
      </c>
      <c r="J577" s="1" t="s">
        <v>41</v>
      </c>
      <c r="K577" s="1" t="s">
        <v>38</v>
      </c>
      <c r="L577" s="1" t="s">
        <v>23</v>
      </c>
      <c r="M577">
        <v>52</v>
      </c>
      <c r="N577">
        <v>49827</v>
      </c>
      <c r="O577">
        <v>3</v>
      </c>
      <c r="P577">
        <v>1</v>
      </c>
      <c r="Q577">
        <v>1</v>
      </c>
      <c r="R577">
        <v>14</v>
      </c>
      <c r="S577">
        <v>0</v>
      </c>
      <c r="T577">
        <v>1</v>
      </c>
      <c r="U577">
        <v>3</v>
      </c>
      <c r="V577">
        <v>4</v>
      </c>
      <c r="W577">
        <v>3</v>
      </c>
    </row>
    <row r="578" spans="1:23" x14ac:dyDescent="0.25">
      <c r="A578" s="1" t="s">
        <v>33</v>
      </c>
      <c r="B578" s="1" t="s">
        <v>24</v>
      </c>
      <c r="C578" s="1" t="s">
        <v>39</v>
      </c>
      <c r="D578" s="1" t="s">
        <v>73</v>
      </c>
      <c r="E578" s="1" t="s">
        <v>55</v>
      </c>
      <c r="F578" s="1" t="s">
        <v>66</v>
      </c>
      <c r="G578" s="1" t="s">
        <v>636</v>
      </c>
      <c r="H578">
        <v>577</v>
      </c>
      <c r="I578" s="1" t="s">
        <v>30</v>
      </c>
      <c r="J578" s="1" t="s">
        <v>37</v>
      </c>
      <c r="K578" s="1" t="s">
        <v>32</v>
      </c>
      <c r="L578" s="1" t="s">
        <v>33</v>
      </c>
      <c r="M578">
        <v>24</v>
      </c>
      <c r="N578">
        <v>86075</v>
      </c>
      <c r="O578">
        <v>1</v>
      </c>
      <c r="P578">
        <v>1</v>
      </c>
      <c r="Q578">
        <v>3</v>
      </c>
      <c r="R578">
        <v>19</v>
      </c>
      <c r="S578">
        <v>0</v>
      </c>
      <c r="T578">
        <v>3</v>
      </c>
      <c r="U578">
        <v>4</v>
      </c>
      <c r="V578">
        <v>23</v>
      </c>
      <c r="W578">
        <v>5</v>
      </c>
    </row>
    <row r="579" spans="1:23" x14ac:dyDescent="0.25">
      <c r="A579" s="1" t="s">
        <v>23</v>
      </c>
      <c r="B579" s="1" t="s">
        <v>24</v>
      </c>
      <c r="C579" s="1" t="s">
        <v>34</v>
      </c>
      <c r="D579" s="1" t="s">
        <v>26</v>
      </c>
      <c r="E579" s="1" t="s">
        <v>46</v>
      </c>
      <c r="F579" s="1" t="s">
        <v>28</v>
      </c>
      <c r="G579" s="1" t="s">
        <v>637</v>
      </c>
      <c r="H579">
        <v>578</v>
      </c>
      <c r="I579" s="1" t="s">
        <v>36</v>
      </c>
      <c r="J579" s="1" t="s">
        <v>31</v>
      </c>
      <c r="K579" s="1" t="s">
        <v>50</v>
      </c>
      <c r="L579" s="1" t="s">
        <v>23</v>
      </c>
      <c r="M579">
        <v>30</v>
      </c>
      <c r="N579">
        <v>171126</v>
      </c>
      <c r="O579">
        <v>4</v>
      </c>
      <c r="P579">
        <v>4</v>
      </c>
      <c r="Q579">
        <v>7</v>
      </c>
      <c r="R579">
        <v>33</v>
      </c>
      <c r="S579">
        <v>4</v>
      </c>
      <c r="T579">
        <v>2</v>
      </c>
      <c r="U579">
        <v>4</v>
      </c>
      <c r="V579">
        <v>22</v>
      </c>
      <c r="W579">
        <v>4</v>
      </c>
    </row>
    <row r="580" spans="1:23" x14ac:dyDescent="0.25">
      <c r="A580" s="1" t="s">
        <v>33</v>
      </c>
      <c r="B580" s="1" t="s">
        <v>44</v>
      </c>
      <c r="C580" s="1" t="s">
        <v>34</v>
      </c>
      <c r="D580" s="1" t="s">
        <v>73</v>
      </c>
      <c r="E580" s="1" t="s">
        <v>46</v>
      </c>
      <c r="F580" s="1" t="s">
        <v>28</v>
      </c>
      <c r="G580" s="1" t="s">
        <v>638</v>
      </c>
      <c r="H580">
        <v>579</v>
      </c>
      <c r="I580" s="1" t="s">
        <v>30</v>
      </c>
      <c r="J580" s="1" t="s">
        <v>76</v>
      </c>
      <c r="K580" s="1" t="s">
        <v>38</v>
      </c>
      <c r="L580" s="1" t="s">
        <v>33</v>
      </c>
      <c r="M580">
        <v>43</v>
      </c>
      <c r="N580">
        <v>164411</v>
      </c>
      <c r="O580">
        <v>2</v>
      </c>
      <c r="P580">
        <v>2</v>
      </c>
      <c r="Q580">
        <v>4</v>
      </c>
      <c r="R580">
        <v>4</v>
      </c>
      <c r="S580">
        <v>3</v>
      </c>
      <c r="T580">
        <v>1</v>
      </c>
      <c r="U580">
        <v>3</v>
      </c>
      <c r="V580">
        <v>1</v>
      </c>
      <c r="W580">
        <v>2</v>
      </c>
    </row>
    <row r="581" spans="1:23" x14ac:dyDescent="0.25">
      <c r="A581" s="1" t="s">
        <v>23</v>
      </c>
      <c r="B581" s="1" t="s">
        <v>24</v>
      </c>
      <c r="C581" s="1" t="s">
        <v>34</v>
      </c>
      <c r="D581" s="1" t="s">
        <v>26</v>
      </c>
      <c r="E581" s="1" t="s">
        <v>40</v>
      </c>
      <c r="F581" s="1" t="s">
        <v>46</v>
      </c>
      <c r="G581" s="1" t="s">
        <v>639</v>
      </c>
      <c r="H581">
        <v>580</v>
      </c>
      <c r="I581" s="1" t="s">
        <v>30</v>
      </c>
      <c r="J581" s="1" t="s">
        <v>43</v>
      </c>
      <c r="K581" s="1" t="s">
        <v>32</v>
      </c>
      <c r="L581" s="1" t="s">
        <v>23</v>
      </c>
      <c r="M581">
        <v>40</v>
      </c>
      <c r="N581">
        <v>137019</v>
      </c>
      <c r="O581">
        <v>2</v>
      </c>
      <c r="P581">
        <v>1</v>
      </c>
      <c r="Q581">
        <v>8</v>
      </c>
      <c r="R581">
        <v>14</v>
      </c>
      <c r="S581">
        <v>2</v>
      </c>
      <c r="T581">
        <v>4</v>
      </c>
      <c r="U581">
        <v>4</v>
      </c>
      <c r="V581">
        <v>28</v>
      </c>
      <c r="W581">
        <v>5</v>
      </c>
    </row>
    <row r="582" spans="1:23" x14ac:dyDescent="0.25">
      <c r="A582" s="1" t="s">
        <v>23</v>
      </c>
      <c r="B582" s="1" t="s">
        <v>24</v>
      </c>
      <c r="C582" s="1" t="s">
        <v>65</v>
      </c>
      <c r="D582" s="1" t="s">
        <v>26</v>
      </c>
      <c r="E582" s="1" t="s">
        <v>55</v>
      </c>
      <c r="F582" s="1" t="s">
        <v>46</v>
      </c>
      <c r="G582" s="1" t="s">
        <v>640</v>
      </c>
      <c r="H582">
        <v>581</v>
      </c>
      <c r="I582" s="1" t="s">
        <v>36</v>
      </c>
      <c r="J582" s="1" t="s">
        <v>70</v>
      </c>
      <c r="K582" s="1" t="s">
        <v>32</v>
      </c>
      <c r="L582" s="1" t="s">
        <v>23</v>
      </c>
      <c r="M582">
        <v>57</v>
      </c>
      <c r="N582">
        <v>44755</v>
      </c>
      <c r="O582">
        <v>2</v>
      </c>
      <c r="P582">
        <v>4</v>
      </c>
      <c r="Q582">
        <v>6</v>
      </c>
      <c r="R582">
        <v>7</v>
      </c>
      <c r="S582">
        <v>1</v>
      </c>
      <c r="T582">
        <v>1</v>
      </c>
      <c r="U582">
        <v>4</v>
      </c>
      <c r="V582">
        <v>6</v>
      </c>
      <c r="W582">
        <v>3</v>
      </c>
    </row>
    <row r="583" spans="1:23" x14ac:dyDescent="0.25">
      <c r="A583" s="1" t="s">
        <v>23</v>
      </c>
      <c r="B583" s="1" t="s">
        <v>44</v>
      </c>
      <c r="C583" s="1" t="s">
        <v>39</v>
      </c>
      <c r="D583" s="1" t="s">
        <v>26</v>
      </c>
      <c r="E583" s="1" t="s">
        <v>40</v>
      </c>
      <c r="F583" s="1" t="s">
        <v>46</v>
      </c>
      <c r="G583" s="1" t="s">
        <v>641</v>
      </c>
      <c r="H583">
        <v>582</v>
      </c>
      <c r="I583" s="1" t="s">
        <v>30</v>
      </c>
      <c r="J583" s="1" t="s">
        <v>59</v>
      </c>
      <c r="K583" s="1" t="s">
        <v>50</v>
      </c>
      <c r="L583" s="1" t="s">
        <v>23</v>
      </c>
      <c r="M583">
        <v>48</v>
      </c>
      <c r="N583">
        <v>73591</v>
      </c>
      <c r="O583">
        <v>2</v>
      </c>
      <c r="P583">
        <v>4</v>
      </c>
      <c r="Q583">
        <v>32</v>
      </c>
      <c r="R583">
        <v>27</v>
      </c>
      <c r="S583">
        <v>4</v>
      </c>
      <c r="T583">
        <v>3</v>
      </c>
      <c r="U583">
        <v>3</v>
      </c>
      <c r="V583">
        <v>15</v>
      </c>
      <c r="W583">
        <v>3</v>
      </c>
    </row>
    <row r="584" spans="1:23" x14ac:dyDescent="0.25">
      <c r="A584" s="1" t="s">
        <v>23</v>
      </c>
      <c r="B584" s="1" t="s">
        <v>54</v>
      </c>
      <c r="C584" s="1" t="s">
        <v>25</v>
      </c>
      <c r="D584" s="1" t="s">
        <v>26</v>
      </c>
      <c r="E584" s="1" t="s">
        <v>40</v>
      </c>
      <c r="F584" s="1" t="s">
        <v>68</v>
      </c>
      <c r="G584" s="1" t="s">
        <v>642</v>
      </c>
      <c r="H584">
        <v>583</v>
      </c>
      <c r="I584" s="1" t="s">
        <v>30</v>
      </c>
      <c r="J584" s="1" t="s">
        <v>76</v>
      </c>
      <c r="K584" s="1" t="s">
        <v>50</v>
      </c>
      <c r="L584" s="1" t="s">
        <v>23</v>
      </c>
      <c r="M584">
        <v>32</v>
      </c>
      <c r="N584">
        <v>173726</v>
      </c>
      <c r="O584">
        <v>3</v>
      </c>
      <c r="P584">
        <v>4</v>
      </c>
      <c r="Q584">
        <v>33</v>
      </c>
      <c r="R584">
        <v>27</v>
      </c>
      <c r="S584">
        <v>0</v>
      </c>
      <c r="T584">
        <v>1</v>
      </c>
      <c r="U584">
        <v>3</v>
      </c>
      <c r="V584">
        <v>4</v>
      </c>
      <c r="W584">
        <v>2</v>
      </c>
    </row>
    <row r="585" spans="1:23" x14ac:dyDescent="0.25">
      <c r="A585" s="1" t="s">
        <v>23</v>
      </c>
      <c r="B585" s="1" t="s">
        <v>44</v>
      </c>
      <c r="C585" s="1" t="s">
        <v>65</v>
      </c>
      <c r="D585" s="1" t="s">
        <v>26</v>
      </c>
      <c r="E585" s="1" t="s">
        <v>51</v>
      </c>
      <c r="F585" s="1" t="s">
        <v>28</v>
      </c>
      <c r="G585" s="1" t="s">
        <v>643</v>
      </c>
      <c r="H585">
        <v>584</v>
      </c>
      <c r="I585" s="1" t="s">
        <v>30</v>
      </c>
      <c r="J585" s="1" t="s">
        <v>59</v>
      </c>
      <c r="K585" s="1" t="s">
        <v>50</v>
      </c>
      <c r="L585" s="1" t="s">
        <v>23</v>
      </c>
      <c r="M585">
        <v>35</v>
      </c>
      <c r="N585">
        <v>124052</v>
      </c>
      <c r="O585">
        <v>4</v>
      </c>
      <c r="P585">
        <v>4</v>
      </c>
      <c r="Q585">
        <v>6</v>
      </c>
      <c r="R585">
        <v>14</v>
      </c>
      <c r="S585">
        <v>5</v>
      </c>
      <c r="T585">
        <v>3</v>
      </c>
      <c r="U585">
        <v>4</v>
      </c>
      <c r="V585">
        <v>7</v>
      </c>
      <c r="W585">
        <v>2</v>
      </c>
    </row>
    <row r="586" spans="1:23" x14ac:dyDescent="0.25">
      <c r="A586" s="1" t="s">
        <v>23</v>
      </c>
      <c r="B586" s="1" t="s">
        <v>54</v>
      </c>
      <c r="C586" s="1" t="s">
        <v>34</v>
      </c>
      <c r="D586" s="1" t="s">
        <v>26</v>
      </c>
      <c r="E586" s="1" t="s">
        <v>27</v>
      </c>
      <c r="F586" s="1" t="s">
        <v>41</v>
      </c>
      <c r="G586" s="1" t="s">
        <v>644</v>
      </c>
      <c r="H586">
        <v>585</v>
      </c>
      <c r="I586" s="1" t="s">
        <v>36</v>
      </c>
      <c r="J586" s="1" t="s">
        <v>64</v>
      </c>
      <c r="K586" s="1" t="s">
        <v>50</v>
      </c>
      <c r="L586" s="1" t="s">
        <v>33</v>
      </c>
      <c r="M586">
        <v>53</v>
      </c>
      <c r="N586">
        <v>142979</v>
      </c>
      <c r="O586">
        <v>3</v>
      </c>
      <c r="P586">
        <v>2</v>
      </c>
      <c r="Q586">
        <v>10</v>
      </c>
      <c r="R586">
        <v>20</v>
      </c>
      <c r="S586">
        <v>5</v>
      </c>
      <c r="T586">
        <v>1</v>
      </c>
      <c r="U586">
        <v>3</v>
      </c>
      <c r="V586">
        <v>6</v>
      </c>
      <c r="W586">
        <v>3</v>
      </c>
    </row>
    <row r="587" spans="1:23" x14ac:dyDescent="0.25">
      <c r="A587" s="1" t="s">
        <v>33</v>
      </c>
      <c r="B587" s="1" t="s">
        <v>54</v>
      </c>
      <c r="C587" s="1" t="s">
        <v>34</v>
      </c>
      <c r="D587" s="1" t="s">
        <v>73</v>
      </c>
      <c r="E587" s="1" t="s">
        <v>60</v>
      </c>
      <c r="F587" s="1" t="s">
        <v>68</v>
      </c>
      <c r="G587" s="1" t="s">
        <v>645</v>
      </c>
      <c r="H587">
        <v>586</v>
      </c>
      <c r="I587" s="1" t="s">
        <v>36</v>
      </c>
      <c r="J587" s="1" t="s">
        <v>37</v>
      </c>
      <c r="K587" s="1" t="s">
        <v>50</v>
      </c>
      <c r="L587" s="1" t="s">
        <v>33</v>
      </c>
      <c r="M587">
        <v>37</v>
      </c>
      <c r="N587">
        <v>38179</v>
      </c>
      <c r="O587">
        <v>2</v>
      </c>
      <c r="P587">
        <v>1</v>
      </c>
      <c r="Q587">
        <v>38</v>
      </c>
      <c r="R587">
        <v>22</v>
      </c>
      <c r="S587">
        <v>3</v>
      </c>
      <c r="T587">
        <v>1</v>
      </c>
      <c r="U587">
        <v>4</v>
      </c>
      <c r="V587">
        <v>28</v>
      </c>
      <c r="W587">
        <v>2</v>
      </c>
    </row>
    <row r="588" spans="1:23" x14ac:dyDescent="0.25">
      <c r="A588" s="1" t="s">
        <v>23</v>
      </c>
      <c r="B588" s="1" t="s">
        <v>54</v>
      </c>
      <c r="C588" s="1" t="s">
        <v>25</v>
      </c>
      <c r="D588" s="1" t="s">
        <v>26</v>
      </c>
      <c r="E588" s="1" t="s">
        <v>60</v>
      </c>
      <c r="F588" s="1" t="s">
        <v>52</v>
      </c>
      <c r="G588" s="1" t="s">
        <v>646</v>
      </c>
      <c r="H588">
        <v>587</v>
      </c>
      <c r="I588" s="1" t="s">
        <v>36</v>
      </c>
      <c r="J588" s="1" t="s">
        <v>48</v>
      </c>
      <c r="K588" s="1" t="s">
        <v>32</v>
      </c>
      <c r="L588" s="1" t="s">
        <v>33</v>
      </c>
      <c r="M588">
        <v>30</v>
      </c>
      <c r="N588">
        <v>42617</v>
      </c>
      <c r="O588">
        <v>1</v>
      </c>
      <c r="P588">
        <v>3</v>
      </c>
      <c r="Q588">
        <v>21</v>
      </c>
      <c r="R588">
        <v>28</v>
      </c>
      <c r="S588">
        <v>3</v>
      </c>
      <c r="T588">
        <v>3</v>
      </c>
      <c r="U588">
        <v>4</v>
      </c>
      <c r="V588">
        <v>22</v>
      </c>
      <c r="W588">
        <v>4</v>
      </c>
    </row>
    <row r="589" spans="1:23" x14ac:dyDescent="0.25">
      <c r="A589" s="1" t="s">
        <v>23</v>
      </c>
      <c r="B589" s="1" t="s">
        <v>44</v>
      </c>
      <c r="C589" s="1" t="s">
        <v>39</v>
      </c>
      <c r="D589" s="1" t="s">
        <v>26</v>
      </c>
      <c r="E589" s="1" t="s">
        <v>27</v>
      </c>
      <c r="F589" s="1" t="s">
        <v>52</v>
      </c>
      <c r="G589" s="1" t="s">
        <v>647</v>
      </c>
      <c r="H589">
        <v>588</v>
      </c>
      <c r="I589" s="1" t="s">
        <v>36</v>
      </c>
      <c r="J589" s="1" t="s">
        <v>59</v>
      </c>
      <c r="K589" s="1" t="s">
        <v>32</v>
      </c>
      <c r="L589" s="1" t="s">
        <v>23</v>
      </c>
      <c r="M589">
        <v>28</v>
      </c>
      <c r="N589">
        <v>88762</v>
      </c>
      <c r="O589">
        <v>1</v>
      </c>
      <c r="P589">
        <v>2</v>
      </c>
      <c r="Q589">
        <v>26</v>
      </c>
      <c r="R589">
        <v>14</v>
      </c>
      <c r="S589">
        <v>5</v>
      </c>
      <c r="T589">
        <v>2</v>
      </c>
      <c r="U589">
        <v>4</v>
      </c>
      <c r="V589">
        <v>16</v>
      </c>
      <c r="W589">
        <v>1</v>
      </c>
    </row>
    <row r="590" spans="1:23" x14ac:dyDescent="0.25">
      <c r="A590" s="1" t="s">
        <v>23</v>
      </c>
      <c r="B590" s="1" t="s">
        <v>44</v>
      </c>
      <c r="C590" s="1" t="s">
        <v>39</v>
      </c>
      <c r="D590" s="1" t="s">
        <v>26</v>
      </c>
      <c r="E590" s="1" t="s">
        <v>40</v>
      </c>
      <c r="F590" s="1" t="s">
        <v>28</v>
      </c>
      <c r="G590" s="1" t="s">
        <v>648</v>
      </c>
      <c r="H590">
        <v>589</v>
      </c>
      <c r="I590" s="1" t="s">
        <v>30</v>
      </c>
      <c r="J590" s="1" t="s">
        <v>48</v>
      </c>
      <c r="K590" s="1" t="s">
        <v>38</v>
      </c>
      <c r="L590" s="1" t="s">
        <v>33</v>
      </c>
      <c r="M590">
        <v>38</v>
      </c>
      <c r="N590">
        <v>160846</v>
      </c>
      <c r="O590">
        <v>4</v>
      </c>
      <c r="P590">
        <v>2</v>
      </c>
      <c r="Q590">
        <v>16</v>
      </c>
      <c r="R590">
        <v>22</v>
      </c>
      <c r="S590">
        <v>2</v>
      </c>
      <c r="T590">
        <v>4</v>
      </c>
      <c r="U590">
        <v>4</v>
      </c>
      <c r="V590">
        <v>9</v>
      </c>
      <c r="W590">
        <v>3</v>
      </c>
    </row>
    <row r="591" spans="1:23" x14ac:dyDescent="0.25">
      <c r="A591" s="1" t="s">
        <v>23</v>
      </c>
      <c r="B591" s="1" t="s">
        <v>44</v>
      </c>
      <c r="C591" s="1" t="s">
        <v>39</v>
      </c>
      <c r="D591" s="1" t="s">
        <v>26</v>
      </c>
      <c r="E591" s="1" t="s">
        <v>46</v>
      </c>
      <c r="F591" s="1" t="s">
        <v>41</v>
      </c>
      <c r="G591" s="1" t="s">
        <v>649</v>
      </c>
      <c r="H591">
        <v>590</v>
      </c>
      <c r="I591" s="1" t="s">
        <v>30</v>
      </c>
      <c r="J591" s="1" t="s">
        <v>41</v>
      </c>
      <c r="K591" s="1" t="s">
        <v>38</v>
      </c>
      <c r="L591" s="1" t="s">
        <v>23</v>
      </c>
      <c r="M591">
        <v>39</v>
      </c>
      <c r="N591">
        <v>46885</v>
      </c>
      <c r="O591">
        <v>1</v>
      </c>
      <c r="P591">
        <v>4</v>
      </c>
      <c r="Q591">
        <v>9</v>
      </c>
      <c r="R591">
        <v>29</v>
      </c>
      <c r="S591">
        <v>5</v>
      </c>
      <c r="T591">
        <v>2</v>
      </c>
      <c r="U591">
        <v>4</v>
      </c>
      <c r="V591">
        <v>20</v>
      </c>
      <c r="W591">
        <v>5</v>
      </c>
    </row>
    <row r="592" spans="1:23" x14ac:dyDescent="0.25">
      <c r="A592" s="1" t="s">
        <v>23</v>
      </c>
      <c r="B592" s="1" t="s">
        <v>24</v>
      </c>
      <c r="C592" s="1" t="s">
        <v>34</v>
      </c>
      <c r="D592" s="1" t="s">
        <v>26</v>
      </c>
      <c r="E592" s="1" t="s">
        <v>27</v>
      </c>
      <c r="F592" s="1" t="s">
        <v>46</v>
      </c>
      <c r="G592" s="1" t="s">
        <v>650</v>
      </c>
      <c r="H592">
        <v>591</v>
      </c>
      <c r="I592" s="1" t="s">
        <v>30</v>
      </c>
      <c r="J592" s="1" t="s">
        <v>86</v>
      </c>
      <c r="K592" s="1" t="s">
        <v>50</v>
      </c>
      <c r="L592" s="1" t="s">
        <v>33</v>
      </c>
      <c r="M592">
        <v>39</v>
      </c>
      <c r="N592">
        <v>173470</v>
      </c>
      <c r="O592">
        <v>1</v>
      </c>
      <c r="P592">
        <v>1</v>
      </c>
      <c r="Q592">
        <v>31</v>
      </c>
      <c r="R592">
        <v>19</v>
      </c>
      <c r="S592">
        <v>0</v>
      </c>
      <c r="T592">
        <v>4</v>
      </c>
      <c r="U592">
        <v>4</v>
      </c>
      <c r="V592">
        <v>22</v>
      </c>
      <c r="W592">
        <v>1</v>
      </c>
    </row>
    <row r="593" spans="1:23" x14ac:dyDescent="0.25">
      <c r="A593" s="1" t="s">
        <v>23</v>
      </c>
      <c r="B593" s="1" t="s">
        <v>54</v>
      </c>
      <c r="C593" s="1" t="s">
        <v>34</v>
      </c>
      <c r="D593" s="1" t="s">
        <v>26</v>
      </c>
      <c r="E593" s="1" t="s">
        <v>27</v>
      </c>
      <c r="F593" s="1" t="s">
        <v>52</v>
      </c>
      <c r="G593" s="1" t="s">
        <v>651</v>
      </c>
      <c r="H593">
        <v>592</v>
      </c>
      <c r="I593" s="1" t="s">
        <v>30</v>
      </c>
      <c r="J593" s="1" t="s">
        <v>31</v>
      </c>
      <c r="K593" s="1" t="s">
        <v>32</v>
      </c>
      <c r="L593" s="1" t="s">
        <v>23</v>
      </c>
      <c r="M593">
        <v>30</v>
      </c>
      <c r="N593">
        <v>69570</v>
      </c>
      <c r="O593">
        <v>4</v>
      </c>
      <c r="P593">
        <v>1</v>
      </c>
      <c r="Q593">
        <v>18</v>
      </c>
      <c r="R593">
        <v>14</v>
      </c>
      <c r="S593">
        <v>0</v>
      </c>
      <c r="T593">
        <v>4</v>
      </c>
      <c r="U593">
        <v>4</v>
      </c>
      <c r="V593">
        <v>8</v>
      </c>
      <c r="W593">
        <v>4</v>
      </c>
    </row>
    <row r="594" spans="1:23" x14ac:dyDescent="0.25">
      <c r="A594" s="1" t="s">
        <v>23</v>
      </c>
      <c r="B594" s="1" t="s">
        <v>44</v>
      </c>
      <c r="C594" s="1" t="s">
        <v>57</v>
      </c>
      <c r="D594" s="1" t="s">
        <v>26</v>
      </c>
      <c r="E594" s="1" t="s">
        <v>60</v>
      </c>
      <c r="F594" s="1" t="s">
        <v>46</v>
      </c>
      <c r="G594" s="1" t="s">
        <v>652</v>
      </c>
      <c r="H594">
        <v>593</v>
      </c>
      <c r="I594" s="1" t="s">
        <v>36</v>
      </c>
      <c r="J594" s="1" t="s">
        <v>70</v>
      </c>
      <c r="K594" s="1" t="s">
        <v>32</v>
      </c>
      <c r="L594" s="1" t="s">
        <v>23</v>
      </c>
      <c r="M594">
        <v>41</v>
      </c>
      <c r="N594">
        <v>169563</v>
      </c>
      <c r="O594">
        <v>2</v>
      </c>
      <c r="P594">
        <v>2</v>
      </c>
      <c r="Q594">
        <v>16</v>
      </c>
      <c r="R594">
        <v>8</v>
      </c>
      <c r="S594">
        <v>3</v>
      </c>
      <c r="T594">
        <v>2</v>
      </c>
      <c r="U594">
        <v>4</v>
      </c>
      <c r="V594">
        <v>10</v>
      </c>
      <c r="W594">
        <v>1</v>
      </c>
    </row>
    <row r="595" spans="1:23" x14ac:dyDescent="0.25">
      <c r="A595" s="1" t="s">
        <v>23</v>
      </c>
      <c r="B595" s="1" t="s">
        <v>54</v>
      </c>
      <c r="C595" s="1" t="s">
        <v>65</v>
      </c>
      <c r="D595" s="1" t="s">
        <v>26</v>
      </c>
      <c r="E595" s="1" t="s">
        <v>40</v>
      </c>
      <c r="F595" s="1" t="s">
        <v>28</v>
      </c>
      <c r="G595" s="1" t="s">
        <v>653</v>
      </c>
      <c r="H595">
        <v>594</v>
      </c>
      <c r="I595" s="1" t="s">
        <v>36</v>
      </c>
      <c r="J595" s="1" t="s">
        <v>41</v>
      </c>
      <c r="K595" s="1" t="s">
        <v>50</v>
      </c>
      <c r="L595" s="1" t="s">
        <v>33</v>
      </c>
      <c r="M595">
        <v>54</v>
      </c>
      <c r="N595">
        <v>133841</v>
      </c>
      <c r="O595">
        <v>3</v>
      </c>
      <c r="P595">
        <v>3</v>
      </c>
      <c r="Q595">
        <v>29</v>
      </c>
      <c r="R595">
        <v>22</v>
      </c>
      <c r="S595">
        <v>3</v>
      </c>
      <c r="T595">
        <v>4</v>
      </c>
      <c r="U595">
        <v>4</v>
      </c>
      <c r="V595">
        <v>14</v>
      </c>
      <c r="W595">
        <v>4</v>
      </c>
    </row>
    <row r="596" spans="1:23" x14ac:dyDescent="0.25">
      <c r="A596" s="1" t="s">
        <v>23</v>
      </c>
      <c r="B596" s="1" t="s">
        <v>24</v>
      </c>
      <c r="C596" s="1" t="s">
        <v>39</v>
      </c>
      <c r="D596" s="1" t="s">
        <v>26</v>
      </c>
      <c r="E596" s="1" t="s">
        <v>40</v>
      </c>
      <c r="F596" s="1" t="s">
        <v>28</v>
      </c>
      <c r="G596" s="1" t="s">
        <v>654</v>
      </c>
      <c r="H596">
        <v>595</v>
      </c>
      <c r="I596" s="1" t="s">
        <v>36</v>
      </c>
      <c r="J596" s="1" t="s">
        <v>48</v>
      </c>
      <c r="K596" s="1" t="s">
        <v>32</v>
      </c>
      <c r="L596" s="1" t="s">
        <v>23</v>
      </c>
      <c r="M596">
        <v>29</v>
      </c>
      <c r="N596">
        <v>160414</v>
      </c>
      <c r="O596">
        <v>3</v>
      </c>
      <c r="P596">
        <v>1</v>
      </c>
      <c r="Q596">
        <v>25</v>
      </c>
      <c r="R596">
        <v>8</v>
      </c>
      <c r="S596">
        <v>3</v>
      </c>
      <c r="T596">
        <v>1</v>
      </c>
      <c r="U596">
        <v>4</v>
      </c>
      <c r="V596">
        <v>26</v>
      </c>
      <c r="W596">
        <v>5</v>
      </c>
    </row>
    <row r="597" spans="1:23" x14ac:dyDescent="0.25">
      <c r="A597" s="1" t="s">
        <v>23</v>
      </c>
      <c r="B597" s="1" t="s">
        <v>44</v>
      </c>
      <c r="C597" s="1" t="s">
        <v>25</v>
      </c>
      <c r="D597" s="1" t="s">
        <v>26</v>
      </c>
      <c r="E597" s="1" t="s">
        <v>60</v>
      </c>
      <c r="F597" s="1" t="s">
        <v>52</v>
      </c>
      <c r="G597" s="1" t="s">
        <v>655</v>
      </c>
      <c r="H597">
        <v>596</v>
      </c>
      <c r="I597" s="1" t="s">
        <v>30</v>
      </c>
      <c r="J597" s="1" t="s">
        <v>37</v>
      </c>
      <c r="K597" s="1" t="s">
        <v>32</v>
      </c>
      <c r="L597" s="1" t="s">
        <v>33</v>
      </c>
      <c r="M597">
        <v>39</v>
      </c>
      <c r="N597">
        <v>166227</v>
      </c>
      <c r="O597">
        <v>4</v>
      </c>
      <c r="P597">
        <v>3</v>
      </c>
      <c r="Q597">
        <v>3</v>
      </c>
      <c r="R597">
        <v>7</v>
      </c>
      <c r="S597">
        <v>5</v>
      </c>
      <c r="T597">
        <v>1</v>
      </c>
      <c r="U597">
        <v>3</v>
      </c>
      <c r="V597">
        <v>17</v>
      </c>
      <c r="W597">
        <v>2</v>
      </c>
    </row>
    <row r="598" spans="1:23" x14ac:dyDescent="0.25">
      <c r="A598" s="1" t="s">
        <v>23</v>
      </c>
      <c r="B598" s="1" t="s">
        <v>24</v>
      </c>
      <c r="C598" s="1" t="s">
        <v>57</v>
      </c>
      <c r="D598" s="1" t="s">
        <v>26</v>
      </c>
      <c r="E598" s="1" t="s">
        <v>55</v>
      </c>
      <c r="F598" s="1" t="s">
        <v>52</v>
      </c>
      <c r="G598" s="1" t="s">
        <v>656</v>
      </c>
      <c r="H598">
        <v>597</v>
      </c>
      <c r="I598" s="1" t="s">
        <v>30</v>
      </c>
      <c r="J598" s="1" t="s">
        <v>76</v>
      </c>
      <c r="K598" s="1" t="s">
        <v>32</v>
      </c>
      <c r="L598" s="1" t="s">
        <v>23</v>
      </c>
      <c r="M598">
        <v>21</v>
      </c>
      <c r="N598">
        <v>145128</v>
      </c>
      <c r="O598">
        <v>2</v>
      </c>
      <c r="P598">
        <v>1</v>
      </c>
      <c r="Q598">
        <v>4</v>
      </c>
      <c r="R598">
        <v>0</v>
      </c>
      <c r="S598">
        <v>1</v>
      </c>
      <c r="T598">
        <v>1</v>
      </c>
      <c r="U598">
        <v>3</v>
      </c>
      <c r="V598">
        <v>8</v>
      </c>
      <c r="W598">
        <v>2</v>
      </c>
    </row>
    <row r="599" spans="1:23" x14ac:dyDescent="0.25">
      <c r="A599" s="1" t="s">
        <v>23</v>
      </c>
      <c r="B599" s="1" t="s">
        <v>44</v>
      </c>
      <c r="C599" s="1" t="s">
        <v>25</v>
      </c>
      <c r="D599" s="1" t="s">
        <v>26</v>
      </c>
      <c r="E599" s="1" t="s">
        <v>51</v>
      </c>
      <c r="F599" s="1" t="s">
        <v>68</v>
      </c>
      <c r="G599" s="1" t="s">
        <v>657</v>
      </c>
      <c r="H599">
        <v>598</v>
      </c>
      <c r="I599" s="1" t="s">
        <v>30</v>
      </c>
      <c r="J599" s="1" t="s">
        <v>31</v>
      </c>
      <c r="K599" s="1" t="s">
        <v>38</v>
      </c>
      <c r="L599" s="1" t="s">
        <v>23</v>
      </c>
      <c r="M599">
        <v>51</v>
      </c>
      <c r="N599">
        <v>66246</v>
      </c>
      <c r="O599">
        <v>2</v>
      </c>
      <c r="P599">
        <v>3</v>
      </c>
      <c r="Q599">
        <v>39</v>
      </c>
      <c r="R599">
        <v>28</v>
      </c>
      <c r="S599">
        <v>6</v>
      </c>
      <c r="T599">
        <v>1</v>
      </c>
      <c r="U599">
        <v>4</v>
      </c>
      <c r="V599">
        <v>5</v>
      </c>
      <c r="W599">
        <v>1</v>
      </c>
    </row>
    <row r="600" spans="1:23" x14ac:dyDescent="0.25">
      <c r="A600" s="1" t="s">
        <v>23</v>
      </c>
      <c r="B600" s="1" t="s">
        <v>24</v>
      </c>
      <c r="C600" s="1" t="s">
        <v>65</v>
      </c>
      <c r="D600" s="1" t="s">
        <v>26</v>
      </c>
      <c r="E600" s="1" t="s">
        <v>46</v>
      </c>
      <c r="F600" s="1" t="s">
        <v>28</v>
      </c>
      <c r="G600" s="1" t="s">
        <v>658</v>
      </c>
      <c r="H600">
        <v>599</v>
      </c>
      <c r="I600" s="1" t="s">
        <v>30</v>
      </c>
      <c r="J600" s="1" t="s">
        <v>86</v>
      </c>
      <c r="K600" s="1" t="s">
        <v>38</v>
      </c>
      <c r="L600" s="1" t="s">
        <v>23</v>
      </c>
      <c r="M600">
        <v>39</v>
      </c>
      <c r="N600">
        <v>44219</v>
      </c>
      <c r="O600">
        <v>4</v>
      </c>
      <c r="P600">
        <v>3</v>
      </c>
      <c r="Q600">
        <v>17</v>
      </c>
      <c r="R600">
        <v>25</v>
      </c>
      <c r="S600">
        <v>3</v>
      </c>
      <c r="T600">
        <v>1</v>
      </c>
      <c r="U600">
        <v>4</v>
      </c>
      <c r="V600">
        <v>14</v>
      </c>
      <c r="W600">
        <v>4</v>
      </c>
    </row>
    <row r="601" spans="1:23" x14ac:dyDescent="0.25">
      <c r="A601" s="1" t="s">
        <v>23</v>
      </c>
      <c r="B601" s="1" t="s">
        <v>54</v>
      </c>
      <c r="C601" s="1" t="s">
        <v>34</v>
      </c>
      <c r="D601" s="1" t="s">
        <v>26</v>
      </c>
      <c r="E601" s="1" t="s">
        <v>60</v>
      </c>
      <c r="F601" s="1" t="s">
        <v>68</v>
      </c>
      <c r="G601" s="1" t="s">
        <v>659</v>
      </c>
      <c r="H601">
        <v>600</v>
      </c>
      <c r="I601" s="1" t="s">
        <v>30</v>
      </c>
      <c r="J601" s="1" t="s">
        <v>43</v>
      </c>
      <c r="K601" s="1" t="s">
        <v>38</v>
      </c>
      <c r="L601" s="1" t="s">
        <v>33</v>
      </c>
      <c r="M601">
        <v>60</v>
      </c>
      <c r="N601">
        <v>134517</v>
      </c>
      <c r="O601">
        <v>1</v>
      </c>
      <c r="P601">
        <v>3</v>
      </c>
      <c r="Q601">
        <v>8</v>
      </c>
      <c r="R601">
        <v>29</v>
      </c>
      <c r="S601">
        <v>5</v>
      </c>
      <c r="T601">
        <v>4</v>
      </c>
      <c r="U601">
        <v>4</v>
      </c>
      <c r="V601">
        <v>1</v>
      </c>
      <c r="W601">
        <v>2</v>
      </c>
    </row>
    <row r="602" spans="1:23" x14ac:dyDescent="0.25">
      <c r="A602" s="1" t="s">
        <v>23</v>
      </c>
      <c r="B602" s="1" t="s">
        <v>24</v>
      </c>
      <c r="C602" s="1" t="s">
        <v>65</v>
      </c>
      <c r="D602" s="1" t="s">
        <v>26</v>
      </c>
      <c r="E602" s="1" t="s">
        <v>51</v>
      </c>
      <c r="F602" s="1" t="s">
        <v>46</v>
      </c>
      <c r="G602" s="1" t="s">
        <v>660</v>
      </c>
      <c r="H602">
        <v>601</v>
      </c>
      <c r="I602" s="1" t="s">
        <v>36</v>
      </c>
      <c r="J602" s="1" t="s">
        <v>59</v>
      </c>
      <c r="K602" s="1" t="s">
        <v>50</v>
      </c>
      <c r="L602" s="1" t="s">
        <v>33</v>
      </c>
      <c r="M602">
        <v>30</v>
      </c>
      <c r="N602">
        <v>110239</v>
      </c>
      <c r="O602">
        <v>3</v>
      </c>
      <c r="P602">
        <v>4</v>
      </c>
      <c r="Q602">
        <v>8</v>
      </c>
      <c r="R602">
        <v>17</v>
      </c>
      <c r="S602">
        <v>6</v>
      </c>
      <c r="T602">
        <v>3</v>
      </c>
      <c r="U602">
        <v>4</v>
      </c>
      <c r="V602">
        <v>3</v>
      </c>
      <c r="W602">
        <v>4</v>
      </c>
    </row>
    <row r="603" spans="1:23" x14ac:dyDescent="0.25">
      <c r="A603" s="1" t="s">
        <v>23</v>
      </c>
      <c r="B603" s="1" t="s">
        <v>24</v>
      </c>
      <c r="C603" s="1" t="s">
        <v>39</v>
      </c>
      <c r="D603" s="1" t="s">
        <v>26</v>
      </c>
      <c r="E603" s="1" t="s">
        <v>46</v>
      </c>
      <c r="F603" s="1" t="s">
        <v>41</v>
      </c>
      <c r="G603" s="1" t="s">
        <v>661</v>
      </c>
      <c r="H603">
        <v>602</v>
      </c>
      <c r="I603" s="1" t="s">
        <v>36</v>
      </c>
      <c r="J603" s="1" t="s">
        <v>70</v>
      </c>
      <c r="K603" s="1" t="s">
        <v>32</v>
      </c>
      <c r="L603" s="1" t="s">
        <v>23</v>
      </c>
      <c r="M603">
        <v>58</v>
      </c>
      <c r="N603">
        <v>170233</v>
      </c>
      <c r="O603">
        <v>3</v>
      </c>
      <c r="P603">
        <v>4</v>
      </c>
      <c r="Q603">
        <v>4</v>
      </c>
      <c r="R603">
        <v>2</v>
      </c>
      <c r="S603">
        <v>0</v>
      </c>
      <c r="T603">
        <v>2</v>
      </c>
      <c r="U603">
        <v>3</v>
      </c>
      <c r="V603">
        <v>4</v>
      </c>
      <c r="W603">
        <v>1</v>
      </c>
    </row>
    <row r="604" spans="1:23" x14ac:dyDescent="0.25">
      <c r="A604" s="1" t="s">
        <v>23</v>
      </c>
      <c r="B604" s="1" t="s">
        <v>24</v>
      </c>
      <c r="C604" s="1" t="s">
        <v>39</v>
      </c>
      <c r="D604" s="1" t="s">
        <v>26</v>
      </c>
      <c r="E604" s="1" t="s">
        <v>27</v>
      </c>
      <c r="F604" s="1" t="s">
        <v>52</v>
      </c>
      <c r="G604" s="1" t="s">
        <v>662</v>
      </c>
      <c r="H604">
        <v>603</v>
      </c>
      <c r="I604" s="1" t="s">
        <v>30</v>
      </c>
      <c r="J604" s="1" t="s">
        <v>31</v>
      </c>
      <c r="K604" s="1" t="s">
        <v>50</v>
      </c>
      <c r="L604" s="1" t="s">
        <v>23</v>
      </c>
      <c r="M604">
        <v>47</v>
      </c>
      <c r="N604">
        <v>34874</v>
      </c>
      <c r="O604">
        <v>1</v>
      </c>
      <c r="P604">
        <v>3</v>
      </c>
      <c r="Q604">
        <v>7</v>
      </c>
      <c r="R604">
        <v>2</v>
      </c>
      <c r="S604">
        <v>6</v>
      </c>
      <c r="T604">
        <v>1</v>
      </c>
      <c r="U604">
        <v>4</v>
      </c>
      <c r="V604">
        <v>25</v>
      </c>
      <c r="W604">
        <v>3</v>
      </c>
    </row>
    <row r="605" spans="1:23" x14ac:dyDescent="0.25">
      <c r="A605" s="1" t="s">
        <v>23</v>
      </c>
      <c r="B605" s="1" t="s">
        <v>44</v>
      </c>
      <c r="C605" s="1" t="s">
        <v>65</v>
      </c>
      <c r="D605" s="1" t="s">
        <v>26</v>
      </c>
      <c r="E605" s="1" t="s">
        <v>55</v>
      </c>
      <c r="F605" s="1" t="s">
        <v>66</v>
      </c>
      <c r="G605" s="1" t="s">
        <v>663</v>
      </c>
      <c r="H605">
        <v>604</v>
      </c>
      <c r="I605" s="1" t="s">
        <v>36</v>
      </c>
      <c r="J605" s="1" t="s">
        <v>41</v>
      </c>
      <c r="K605" s="1" t="s">
        <v>50</v>
      </c>
      <c r="L605" s="1" t="s">
        <v>33</v>
      </c>
      <c r="M605">
        <v>33</v>
      </c>
      <c r="N605">
        <v>84190</v>
      </c>
      <c r="O605">
        <v>4</v>
      </c>
      <c r="P605">
        <v>4</v>
      </c>
      <c r="Q605">
        <v>18</v>
      </c>
      <c r="R605">
        <v>14</v>
      </c>
      <c r="S605">
        <v>1</v>
      </c>
      <c r="T605">
        <v>2</v>
      </c>
      <c r="U605">
        <v>4</v>
      </c>
      <c r="V605">
        <v>27</v>
      </c>
      <c r="W605">
        <v>5</v>
      </c>
    </row>
    <row r="606" spans="1:23" x14ac:dyDescent="0.25">
      <c r="A606" s="1" t="s">
        <v>23</v>
      </c>
      <c r="B606" s="1" t="s">
        <v>24</v>
      </c>
      <c r="C606" s="1" t="s">
        <v>34</v>
      </c>
      <c r="D606" s="1" t="s">
        <v>26</v>
      </c>
      <c r="E606" s="1" t="s">
        <v>51</v>
      </c>
      <c r="F606" s="1" t="s">
        <v>52</v>
      </c>
      <c r="G606" s="1" t="s">
        <v>664</v>
      </c>
      <c r="H606">
        <v>605</v>
      </c>
      <c r="I606" s="1" t="s">
        <v>30</v>
      </c>
      <c r="J606" s="1" t="s">
        <v>48</v>
      </c>
      <c r="K606" s="1" t="s">
        <v>50</v>
      </c>
      <c r="L606" s="1" t="s">
        <v>33</v>
      </c>
      <c r="M606">
        <v>21</v>
      </c>
      <c r="N606">
        <v>112256</v>
      </c>
      <c r="O606">
        <v>4</v>
      </c>
      <c r="P606">
        <v>1</v>
      </c>
      <c r="Q606">
        <v>21</v>
      </c>
      <c r="R606">
        <v>11</v>
      </c>
      <c r="S606">
        <v>5</v>
      </c>
      <c r="T606">
        <v>4</v>
      </c>
      <c r="U606">
        <v>3</v>
      </c>
      <c r="V606">
        <v>27</v>
      </c>
      <c r="W606">
        <v>2</v>
      </c>
    </row>
    <row r="607" spans="1:23" x14ac:dyDescent="0.25">
      <c r="A607" s="1" t="s">
        <v>23</v>
      </c>
      <c r="B607" s="1" t="s">
        <v>44</v>
      </c>
      <c r="C607" s="1" t="s">
        <v>39</v>
      </c>
      <c r="D607" s="1" t="s">
        <v>26</v>
      </c>
      <c r="E607" s="1" t="s">
        <v>27</v>
      </c>
      <c r="F607" s="1" t="s">
        <v>41</v>
      </c>
      <c r="G607" s="1" t="s">
        <v>665</v>
      </c>
      <c r="H607">
        <v>606</v>
      </c>
      <c r="I607" s="1" t="s">
        <v>30</v>
      </c>
      <c r="J607" s="1" t="s">
        <v>31</v>
      </c>
      <c r="K607" s="1" t="s">
        <v>38</v>
      </c>
      <c r="L607" s="1" t="s">
        <v>23</v>
      </c>
      <c r="M607">
        <v>45</v>
      </c>
      <c r="N607">
        <v>36577</v>
      </c>
      <c r="O607">
        <v>1</v>
      </c>
      <c r="P607">
        <v>2</v>
      </c>
      <c r="Q607">
        <v>33</v>
      </c>
      <c r="R607">
        <v>19</v>
      </c>
      <c r="S607">
        <v>0</v>
      </c>
      <c r="T607">
        <v>1</v>
      </c>
      <c r="U607">
        <v>4</v>
      </c>
      <c r="V607">
        <v>8</v>
      </c>
      <c r="W607">
        <v>1</v>
      </c>
    </row>
    <row r="608" spans="1:23" x14ac:dyDescent="0.25">
      <c r="A608" s="1" t="s">
        <v>23</v>
      </c>
      <c r="B608" s="1" t="s">
        <v>44</v>
      </c>
      <c r="C608" s="1" t="s">
        <v>34</v>
      </c>
      <c r="D608" s="1" t="s">
        <v>26</v>
      </c>
      <c r="E608" s="1" t="s">
        <v>55</v>
      </c>
      <c r="F608" s="1" t="s">
        <v>46</v>
      </c>
      <c r="G608" s="1" t="s">
        <v>666</v>
      </c>
      <c r="H608">
        <v>607</v>
      </c>
      <c r="I608" s="1" t="s">
        <v>36</v>
      </c>
      <c r="J608" s="1" t="s">
        <v>37</v>
      </c>
      <c r="K608" s="1" t="s">
        <v>50</v>
      </c>
      <c r="L608" s="1" t="s">
        <v>33</v>
      </c>
      <c r="M608">
        <v>39</v>
      </c>
      <c r="N608">
        <v>37602</v>
      </c>
      <c r="O608">
        <v>2</v>
      </c>
      <c r="P608">
        <v>3</v>
      </c>
      <c r="Q608">
        <v>25</v>
      </c>
      <c r="R608">
        <v>39</v>
      </c>
      <c r="S608">
        <v>0</v>
      </c>
      <c r="T608">
        <v>1</v>
      </c>
      <c r="U608">
        <v>4</v>
      </c>
      <c r="V608">
        <v>30</v>
      </c>
      <c r="W608">
        <v>3</v>
      </c>
    </row>
    <row r="609" spans="1:23" x14ac:dyDescent="0.25">
      <c r="A609" s="1" t="s">
        <v>23</v>
      </c>
      <c r="B609" s="1" t="s">
        <v>44</v>
      </c>
      <c r="C609" s="1" t="s">
        <v>25</v>
      </c>
      <c r="D609" s="1" t="s">
        <v>26</v>
      </c>
      <c r="E609" s="1" t="s">
        <v>40</v>
      </c>
      <c r="F609" s="1" t="s">
        <v>28</v>
      </c>
      <c r="G609" s="1" t="s">
        <v>667</v>
      </c>
      <c r="H609">
        <v>608</v>
      </c>
      <c r="I609" s="1" t="s">
        <v>36</v>
      </c>
      <c r="J609" s="1" t="s">
        <v>64</v>
      </c>
      <c r="K609" s="1" t="s">
        <v>50</v>
      </c>
      <c r="L609" s="1" t="s">
        <v>33</v>
      </c>
      <c r="M609">
        <v>56</v>
      </c>
      <c r="N609">
        <v>104405</v>
      </c>
      <c r="O609">
        <v>1</v>
      </c>
      <c r="P609">
        <v>2</v>
      </c>
      <c r="Q609">
        <v>31</v>
      </c>
      <c r="R609">
        <v>4</v>
      </c>
      <c r="S609">
        <v>6</v>
      </c>
      <c r="T609">
        <v>1</v>
      </c>
      <c r="U609">
        <v>4</v>
      </c>
      <c r="V609">
        <v>3</v>
      </c>
      <c r="W609">
        <v>4</v>
      </c>
    </row>
    <row r="610" spans="1:23" x14ac:dyDescent="0.25">
      <c r="A610" s="1" t="s">
        <v>23</v>
      </c>
      <c r="B610" s="1" t="s">
        <v>54</v>
      </c>
      <c r="C610" s="1" t="s">
        <v>39</v>
      </c>
      <c r="D610" s="1" t="s">
        <v>26</v>
      </c>
      <c r="E610" s="1" t="s">
        <v>60</v>
      </c>
      <c r="F610" s="1" t="s">
        <v>68</v>
      </c>
      <c r="G610" s="1" t="s">
        <v>668</v>
      </c>
      <c r="H610">
        <v>609</v>
      </c>
      <c r="I610" s="1" t="s">
        <v>30</v>
      </c>
      <c r="J610" s="1" t="s">
        <v>76</v>
      </c>
      <c r="K610" s="1" t="s">
        <v>32</v>
      </c>
      <c r="L610" s="1" t="s">
        <v>33</v>
      </c>
      <c r="M610">
        <v>27</v>
      </c>
      <c r="N610">
        <v>27332</v>
      </c>
      <c r="O610">
        <v>4</v>
      </c>
      <c r="P610">
        <v>2</v>
      </c>
      <c r="Q610">
        <v>22</v>
      </c>
      <c r="R610">
        <v>27</v>
      </c>
      <c r="S610">
        <v>3</v>
      </c>
      <c r="T610">
        <v>3</v>
      </c>
      <c r="U610">
        <v>3</v>
      </c>
      <c r="V610">
        <v>1</v>
      </c>
      <c r="W610">
        <v>1</v>
      </c>
    </row>
    <row r="611" spans="1:23" x14ac:dyDescent="0.25">
      <c r="A611" s="1" t="s">
        <v>23</v>
      </c>
      <c r="B611" s="1" t="s">
        <v>54</v>
      </c>
      <c r="C611" s="1" t="s">
        <v>65</v>
      </c>
      <c r="D611" s="1" t="s">
        <v>26</v>
      </c>
      <c r="E611" s="1" t="s">
        <v>55</v>
      </c>
      <c r="F611" s="1" t="s">
        <v>41</v>
      </c>
      <c r="G611" s="1" t="s">
        <v>669</v>
      </c>
      <c r="H611">
        <v>610</v>
      </c>
      <c r="I611" s="1" t="s">
        <v>36</v>
      </c>
      <c r="J611" s="1" t="s">
        <v>64</v>
      </c>
      <c r="K611" s="1" t="s">
        <v>32</v>
      </c>
      <c r="L611" s="1" t="s">
        <v>23</v>
      </c>
      <c r="M611">
        <v>24</v>
      </c>
      <c r="N611">
        <v>119482</v>
      </c>
      <c r="O611">
        <v>4</v>
      </c>
      <c r="P611">
        <v>2</v>
      </c>
      <c r="Q611">
        <v>27</v>
      </c>
      <c r="R611">
        <v>27</v>
      </c>
      <c r="S611">
        <v>4</v>
      </c>
      <c r="T611">
        <v>2</v>
      </c>
      <c r="U611">
        <v>3</v>
      </c>
      <c r="V611">
        <v>15</v>
      </c>
      <c r="W611">
        <v>1</v>
      </c>
    </row>
    <row r="612" spans="1:23" x14ac:dyDescent="0.25">
      <c r="A612" s="1" t="s">
        <v>33</v>
      </c>
      <c r="B612" s="1" t="s">
        <v>44</v>
      </c>
      <c r="C612" s="1" t="s">
        <v>57</v>
      </c>
      <c r="D612" s="1" t="s">
        <v>73</v>
      </c>
      <c r="E612" s="1" t="s">
        <v>27</v>
      </c>
      <c r="F612" s="1" t="s">
        <v>28</v>
      </c>
      <c r="G612" s="1" t="s">
        <v>670</v>
      </c>
      <c r="H612">
        <v>611</v>
      </c>
      <c r="I612" s="1" t="s">
        <v>36</v>
      </c>
      <c r="J612" s="1" t="s">
        <v>41</v>
      </c>
      <c r="K612" s="1" t="s">
        <v>50</v>
      </c>
      <c r="L612" s="1" t="s">
        <v>33</v>
      </c>
      <c r="M612">
        <v>35</v>
      </c>
      <c r="N612">
        <v>42114</v>
      </c>
      <c r="O612">
        <v>1</v>
      </c>
      <c r="P612">
        <v>2</v>
      </c>
      <c r="Q612">
        <v>26</v>
      </c>
      <c r="R612">
        <v>34</v>
      </c>
      <c r="S612">
        <v>4</v>
      </c>
      <c r="T612">
        <v>1</v>
      </c>
      <c r="U612">
        <v>3</v>
      </c>
      <c r="V612">
        <v>28</v>
      </c>
      <c r="W612">
        <v>2</v>
      </c>
    </row>
    <row r="613" spans="1:23" x14ac:dyDescent="0.25">
      <c r="A613" s="1" t="s">
        <v>23</v>
      </c>
      <c r="B613" s="1" t="s">
        <v>44</v>
      </c>
      <c r="C613" s="1" t="s">
        <v>25</v>
      </c>
      <c r="D613" s="1" t="s">
        <v>26</v>
      </c>
      <c r="E613" s="1" t="s">
        <v>55</v>
      </c>
      <c r="F613" s="1" t="s">
        <v>28</v>
      </c>
      <c r="G613" s="1" t="s">
        <v>671</v>
      </c>
      <c r="H613">
        <v>612</v>
      </c>
      <c r="I613" s="1" t="s">
        <v>36</v>
      </c>
      <c r="J613" s="1" t="s">
        <v>64</v>
      </c>
      <c r="K613" s="1" t="s">
        <v>38</v>
      </c>
      <c r="L613" s="1" t="s">
        <v>23</v>
      </c>
      <c r="M613">
        <v>59</v>
      </c>
      <c r="N613">
        <v>82027</v>
      </c>
      <c r="O613">
        <v>3</v>
      </c>
      <c r="P613">
        <v>2</v>
      </c>
      <c r="Q613">
        <v>38</v>
      </c>
      <c r="R613">
        <v>25</v>
      </c>
      <c r="S613">
        <v>3</v>
      </c>
      <c r="T613">
        <v>1</v>
      </c>
      <c r="U613">
        <v>3</v>
      </c>
      <c r="V613">
        <v>3</v>
      </c>
      <c r="W613">
        <v>3</v>
      </c>
    </row>
    <row r="614" spans="1:23" x14ac:dyDescent="0.25">
      <c r="A614" s="1" t="s">
        <v>33</v>
      </c>
      <c r="B614" s="1" t="s">
        <v>54</v>
      </c>
      <c r="C614" s="1" t="s">
        <v>34</v>
      </c>
      <c r="D614" s="1" t="s">
        <v>73</v>
      </c>
      <c r="E614" s="1" t="s">
        <v>46</v>
      </c>
      <c r="F614" s="1" t="s">
        <v>46</v>
      </c>
      <c r="G614" s="1" t="s">
        <v>672</v>
      </c>
      <c r="H614">
        <v>613</v>
      </c>
      <c r="I614" s="1" t="s">
        <v>30</v>
      </c>
      <c r="J614" s="1" t="s">
        <v>86</v>
      </c>
      <c r="K614" s="1" t="s">
        <v>32</v>
      </c>
      <c r="L614" s="1" t="s">
        <v>23</v>
      </c>
      <c r="M614">
        <v>44</v>
      </c>
      <c r="N614">
        <v>162547</v>
      </c>
      <c r="O614">
        <v>3</v>
      </c>
      <c r="P614">
        <v>2</v>
      </c>
      <c r="Q614">
        <v>33</v>
      </c>
      <c r="R614">
        <v>17</v>
      </c>
      <c r="S614">
        <v>2</v>
      </c>
      <c r="T614">
        <v>1</v>
      </c>
      <c r="U614">
        <v>3</v>
      </c>
      <c r="V614">
        <v>12</v>
      </c>
      <c r="W614">
        <v>4</v>
      </c>
    </row>
    <row r="615" spans="1:23" x14ac:dyDescent="0.25">
      <c r="A615" s="1" t="s">
        <v>23</v>
      </c>
      <c r="B615" s="1" t="s">
        <v>24</v>
      </c>
      <c r="C615" s="1" t="s">
        <v>39</v>
      </c>
      <c r="D615" s="1" t="s">
        <v>26</v>
      </c>
      <c r="E615" s="1" t="s">
        <v>27</v>
      </c>
      <c r="F615" s="1" t="s">
        <v>28</v>
      </c>
      <c r="G615" s="1" t="s">
        <v>673</v>
      </c>
      <c r="H615">
        <v>614</v>
      </c>
      <c r="I615" s="1" t="s">
        <v>30</v>
      </c>
      <c r="J615" s="1" t="s">
        <v>59</v>
      </c>
      <c r="K615" s="1" t="s">
        <v>50</v>
      </c>
      <c r="L615" s="1" t="s">
        <v>23</v>
      </c>
      <c r="M615">
        <v>56</v>
      </c>
      <c r="N615">
        <v>73251</v>
      </c>
      <c r="O615">
        <v>1</v>
      </c>
      <c r="P615">
        <v>3</v>
      </c>
      <c r="Q615">
        <v>9</v>
      </c>
      <c r="R615">
        <v>2</v>
      </c>
      <c r="S615">
        <v>1</v>
      </c>
      <c r="T615">
        <v>4</v>
      </c>
      <c r="U615">
        <v>4</v>
      </c>
      <c r="V615">
        <v>4</v>
      </c>
      <c r="W615">
        <v>1</v>
      </c>
    </row>
    <row r="616" spans="1:23" x14ac:dyDescent="0.25">
      <c r="A616" s="1" t="s">
        <v>23</v>
      </c>
      <c r="B616" s="1" t="s">
        <v>54</v>
      </c>
      <c r="C616" s="1" t="s">
        <v>25</v>
      </c>
      <c r="D616" s="1" t="s">
        <v>26</v>
      </c>
      <c r="E616" s="1" t="s">
        <v>27</v>
      </c>
      <c r="F616" s="1" t="s">
        <v>68</v>
      </c>
      <c r="G616" s="1" t="s">
        <v>674</v>
      </c>
      <c r="H616">
        <v>615</v>
      </c>
      <c r="I616" s="1" t="s">
        <v>36</v>
      </c>
      <c r="J616" s="1" t="s">
        <v>31</v>
      </c>
      <c r="K616" s="1" t="s">
        <v>50</v>
      </c>
      <c r="L616" s="1" t="s">
        <v>23</v>
      </c>
      <c r="M616">
        <v>60</v>
      </c>
      <c r="N616">
        <v>118646</v>
      </c>
      <c r="O616">
        <v>4</v>
      </c>
      <c r="P616">
        <v>1</v>
      </c>
      <c r="Q616">
        <v>24</v>
      </c>
      <c r="R616">
        <v>24</v>
      </c>
      <c r="S616">
        <v>3</v>
      </c>
      <c r="T616">
        <v>1</v>
      </c>
      <c r="U616">
        <v>3</v>
      </c>
      <c r="V616">
        <v>7</v>
      </c>
      <c r="W616">
        <v>4</v>
      </c>
    </row>
    <row r="617" spans="1:23" x14ac:dyDescent="0.25">
      <c r="A617" s="1" t="s">
        <v>23</v>
      </c>
      <c r="B617" s="1" t="s">
        <v>54</v>
      </c>
      <c r="C617" s="1" t="s">
        <v>34</v>
      </c>
      <c r="D617" s="1" t="s">
        <v>26</v>
      </c>
      <c r="E617" s="1" t="s">
        <v>60</v>
      </c>
      <c r="F617" s="1" t="s">
        <v>46</v>
      </c>
      <c r="G617" s="1" t="s">
        <v>675</v>
      </c>
      <c r="H617">
        <v>616</v>
      </c>
      <c r="I617" s="1" t="s">
        <v>30</v>
      </c>
      <c r="J617" s="1" t="s">
        <v>59</v>
      </c>
      <c r="K617" s="1" t="s">
        <v>38</v>
      </c>
      <c r="L617" s="1" t="s">
        <v>33</v>
      </c>
      <c r="M617">
        <v>59</v>
      </c>
      <c r="N617">
        <v>106137</v>
      </c>
      <c r="O617">
        <v>3</v>
      </c>
      <c r="P617">
        <v>2</v>
      </c>
      <c r="Q617">
        <v>1</v>
      </c>
      <c r="R617">
        <v>21</v>
      </c>
      <c r="S617">
        <v>5</v>
      </c>
      <c r="T617">
        <v>4</v>
      </c>
      <c r="U617">
        <v>4</v>
      </c>
      <c r="V617">
        <v>26</v>
      </c>
      <c r="W617">
        <v>1</v>
      </c>
    </row>
    <row r="618" spans="1:23" x14ac:dyDescent="0.25">
      <c r="A618" s="1" t="s">
        <v>23</v>
      </c>
      <c r="B618" s="1" t="s">
        <v>54</v>
      </c>
      <c r="C618" s="1" t="s">
        <v>39</v>
      </c>
      <c r="D618" s="1" t="s">
        <v>26</v>
      </c>
      <c r="E618" s="1" t="s">
        <v>46</v>
      </c>
      <c r="F618" s="1" t="s">
        <v>46</v>
      </c>
      <c r="G618" s="1" t="s">
        <v>676</v>
      </c>
      <c r="H618">
        <v>617</v>
      </c>
      <c r="I618" s="1" t="s">
        <v>36</v>
      </c>
      <c r="J618" s="1" t="s">
        <v>41</v>
      </c>
      <c r="K618" s="1" t="s">
        <v>32</v>
      </c>
      <c r="L618" s="1" t="s">
        <v>23</v>
      </c>
      <c r="M618">
        <v>31</v>
      </c>
      <c r="N618">
        <v>117953</v>
      </c>
      <c r="O618">
        <v>4</v>
      </c>
      <c r="P618">
        <v>2</v>
      </c>
      <c r="Q618">
        <v>8</v>
      </c>
      <c r="R618">
        <v>0</v>
      </c>
      <c r="S618">
        <v>2</v>
      </c>
      <c r="T618">
        <v>3</v>
      </c>
      <c r="U618">
        <v>3</v>
      </c>
      <c r="V618">
        <v>8</v>
      </c>
      <c r="W618">
        <v>5</v>
      </c>
    </row>
    <row r="619" spans="1:23" x14ac:dyDescent="0.25">
      <c r="A619" s="1" t="s">
        <v>23</v>
      </c>
      <c r="B619" s="1" t="s">
        <v>54</v>
      </c>
      <c r="C619" s="1" t="s">
        <v>39</v>
      </c>
      <c r="D619" s="1" t="s">
        <v>26</v>
      </c>
      <c r="E619" s="1" t="s">
        <v>60</v>
      </c>
      <c r="F619" s="1" t="s">
        <v>46</v>
      </c>
      <c r="G619" s="1" t="s">
        <v>677</v>
      </c>
      <c r="H619">
        <v>618</v>
      </c>
      <c r="I619" s="1" t="s">
        <v>36</v>
      </c>
      <c r="J619" s="1" t="s">
        <v>76</v>
      </c>
      <c r="K619" s="1" t="s">
        <v>32</v>
      </c>
      <c r="L619" s="1" t="s">
        <v>23</v>
      </c>
      <c r="M619">
        <v>59</v>
      </c>
      <c r="N619">
        <v>21234</v>
      </c>
      <c r="O619">
        <v>1</v>
      </c>
      <c r="P619">
        <v>3</v>
      </c>
      <c r="Q619">
        <v>36</v>
      </c>
      <c r="R619">
        <v>42</v>
      </c>
      <c r="S619">
        <v>2</v>
      </c>
      <c r="T619">
        <v>3</v>
      </c>
      <c r="U619">
        <v>3</v>
      </c>
      <c r="V619">
        <v>15</v>
      </c>
      <c r="W619">
        <v>4</v>
      </c>
    </row>
    <row r="620" spans="1:23" x14ac:dyDescent="0.25">
      <c r="A620" s="1" t="s">
        <v>23</v>
      </c>
      <c r="B620" s="1" t="s">
        <v>44</v>
      </c>
      <c r="C620" s="1" t="s">
        <v>25</v>
      </c>
      <c r="D620" s="1" t="s">
        <v>26</v>
      </c>
      <c r="E620" s="1" t="s">
        <v>60</v>
      </c>
      <c r="F620" s="1" t="s">
        <v>68</v>
      </c>
      <c r="G620" s="1" t="s">
        <v>678</v>
      </c>
      <c r="H620">
        <v>619</v>
      </c>
      <c r="I620" s="1" t="s">
        <v>30</v>
      </c>
      <c r="J620" s="1" t="s">
        <v>41</v>
      </c>
      <c r="K620" s="1" t="s">
        <v>50</v>
      </c>
      <c r="L620" s="1" t="s">
        <v>33</v>
      </c>
      <c r="M620">
        <v>38</v>
      </c>
      <c r="N620">
        <v>177993</v>
      </c>
      <c r="O620">
        <v>3</v>
      </c>
      <c r="P620">
        <v>1</v>
      </c>
      <c r="Q620">
        <v>28</v>
      </c>
      <c r="R620">
        <v>11</v>
      </c>
      <c r="S620">
        <v>2</v>
      </c>
      <c r="T620">
        <v>3</v>
      </c>
      <c r="U620">
        <v>4</v>
      </c>
      <c r="V620">
        <v>28</v>
      </c>
      <c r="W620">
        <v>4</v>
      </c>
    </row>
    <row r="621" spans="1:23" x14ac:dyDescent="0.25">
      <c r="A621" s="1" t="s">
        <v>23</v>
      </c>
      <c r="B621" s="1" t="s">
        <v>54</v>
      </c>
      <c r="C621" s="1" t="s">
        <v>39</v>
      </c>
      <c r="D621" s="1" t="s">
        <v>26</v>
      </c>
      <c r="E621" s="1" t="s">
        <v>55</v>
      </c>
      <c r="F621" s="1" t="s">
        <v>52</v>
      </c>
      <c r="G621" s="1" t="s">
        <v>679</v>
      </c>
      <c r="H621">
        <v>620</v>
      </c>
      <c r="I621" s="1" t="s">
        <v>30</v>
      </c>
      <c r="J621" s="1" t="s">
        <v>48</v>
      </c>
      <c r="K621" s="1" t="s">
        <v>50</v>
      </c>
      <c r="L621" s="1" t="s">
        <v>33</v>
      </c>
      <c r="M621">
        <v>32</v>
      </c>
      <c r="N621">
        <v>150833</v>
      </c>
      <c r="O621">
        <v>4</v>
      </c>
      <c r="P621">
        <v>3</v>
      </c>
      <c r="Q621">
        <v>2</v>
      </c>
      <c r="R621">
        <v>35</v>
      </c>
      <c r="S621">
        <v>5</v>
      </c>
      <c r="T621">
        <v>2</v>
      </c>
      <c r="U621">
        <v>3</v>
      </c>
      <c r="V621">
        <v>23</v>
      </c>
      <c r="W621">
        <v>3</v>
      </c>
    </row>
    <row r="622" spans="1:23" x14ac:dyDescent="0.25">
      <c r="A622" s="1" t="s">
        <v>33</v>
      </c>
      <c r="B622" s="1" t="s">
        <v>54</v>
      </c>
      <c r="C622" s="1" t="s">
        <v>25</v>
      </c>
      <c r="D622" s="1" t="s">
        <v>73</v>
      </c>
      <c r="E622" s="1" t="s">
        <v>27</v>
      </c>
      <c r="F622" s="1" t="s">
        <v>52</v>
      </c>
      <c r="G622" s="1" t="s">
        <v>680</v>
      </c>
      <c r="H622">
        <v>621</v>
      </c>
      <c r="I622" s="1" t="s">
        <v>30</v>
      </c>
      <c r="J622" s="1" t="s">
        <v>43</v>
      </c>
      <c r="K622" s="1" t="s">
        <v>50</v>
      </c>
      <c r="L622" s="1" t="s">
        <v>23</v>
      </c>
      <c r="M622">
        <v>27</v>
      </c>
      <c r="N622">
        <v>38310</v>
      </c>
      <c r="O622">
        <v>4</v>
      </c>
      <c r="P622">
        <v>1</v>
      </c>
      <c r="Q622">
        <v>32</v>
      </c>
      <c r="R622">
        <v>4</v>
      </c>
      <c r="S622">
        <v>1</v>
      </c>
      <c r="T622">
        <v>2</v>
      </c>
      <c r="U622">
        <v>4</v>
      </c>
      <c r="V622">
        <v>19</v>
      </c>
      <c r="W622">
        <v>3</v>
      </c>
    </row>
    <row r="623" spans="1:23" x14ac:dyDescent="0.25">
      <c r="A623" s="1" t="s">
        <v>23</v>
      </c>
      <c r="B623" s="1" t="s">
        <v>54</v>
      </c>
      <c r="C623" s="1" t="s">
        <v>39</v>
      </c>
      <c r="D623" s="1" t="s">
        <v>26</v>
      </c>
      <c r="E623" s="1" t="s">
        <v>60</v>
      </c>
      <c r="F623" s="1" t="s">
        <v>68</v>
      </c>
      <c r="G623" s="1" t="s">
        <v>681</v>
      </c>
      <c r="H623">
        <v>622</v>
      </c>
      <c r="I623" s="1" t="s">
        <v>36</v>
      </c>
      <c r="J623" s="1" t="s">
        <v>70</v>
      </c>
      <c r="K623" s="1" t="s">
        <v>50</v>
      </c>
      <c r="L623" s="1" t="s">
        <v>23</v>
      </c>
      <c r="M623">
        <v>59</v>
      </c>
      <c r="N623">
        <v>112447</v>
      </c>
      <c r="O623">
        <v>3</v>
      </c>
      <c r="P623">
        <v>4</v>
      </c>
      <c r="Q623">
        <v>23</v>
      </c>
      <c r="R623">
        <v>30</v>
      </c>
      <c r="S623">
        <v>2</v>
      </c>
      <c r="T623">
        <v>1</v>
      </c>
      <c r="U623">
        <v>3</v>
      </c>
      <c r="V623">
        <v>12</v>
      </c>
      <c r="W623">
        <v>1</v>
      </c>
    </row>
    <row r="624" spans="1:23" x14ac:dyDescent="0.25">
      <c r="A624" s="1" t="s">
        <v>23</v>
      </c>
      <c r="B624" s="1" t="s">
        <v>24</v>
      </c>
      <c r="C624" s="1" t="s">
        <v>34</v>
      </c>
      <c r="D624" s="1" t="s">
        <v>26</v>
      </c>
      <c r="E624" s="1" t="s">
        <v>51</v>
      </c>
      <c r="F624" s="1" t="s">
        <v>66</v>
      </c>
      <c r="G624" s="1" t="s">
        <v>682</v>
      </c>
      <c r="H624">
        <v>623</v>
      </c>
      <c r="I624" s="1" t="s">
        <v>30</v>
      </c>
      <c r="J624" s="1" t="s">
        <v>37</v>
      </c>
      <c r="K624" s="1" t="s">
        <v>32</v>
      </c>
      <c r="L624" s="1" t="s">
        <v>23</v>
      </c>
      <c r="M624">
        <v>34</v>
      </c>
      <c r="N624">
        <v>117310</v>
      </c>
      <c r="O624">
        <v>1</v>
      </c>
      <c r="P624">
        <v>2</v>
      </c>
      <c r="Q624">
        <v>24</v>
      </c>
      <c r="R624">
        <v>41</v>
      </c>
      <c r="S624">
        <v>0</v>
      </c>
      <c r="T624">
        <v>1</v>
      </c>
      <c r="U624">
        <v>3</v>
      </c>
      <c r="V624">
        <v>19</v>
      </c>
      <c r="W624">
        <v>5</v>
      </c>
    </row>
    <row r="625" spans="1:23" x14ac:dyDescent="0.25">
      <c r="A625" s="1" t="s">
        <v>33</v>
      </c>
      <c r="B625" s="1" t="s">
        <v>44</v>
      </c>
      <c r="C625" s="1" t="s">
        <v>39</v>
      </c>
      <c r="D625" s="1" t="s">
        <v>73</v>
      </c>
      <c r="E625" s="1" t="s">
        <v>46</v>
      </c>
      <c r="F625" s="1" t="s">
        <v>41</v>
      </c>
      <c r="G625" s="1" t="s">
        <v>683</v>
      </c>
      <c r="H625">
        <v>624</v>
      </c>
      <c r="I625" s="1" t="s">
        <v>30</v>
      </c>
      <c r="J625" s="1" t="s">
        <v>59</v>
      </c>
      <c r="K625" s="1" t="s">
        <v>50</v>
      </c>
      <c r="L625" s="1" t="s">
        <v>23</v>
      </c>
      <c r="M625">
        <v>54</v>
      </c>
      <c r="N625">
        <v>154402</v>
      </c>
      <c r="O625">
        <v>4</v>
      </c>
      <c r="P625">
        <v>3</v>
      </c>
      <c r="Q625">
        <v>17</v>
      </c>
      <c r="R625">
        <v>12</v>
      </c>
      <c r="S625">
        <v>6</v>
      </c>
      <c r="T625">
        <v>3</v>
      </c>
      <c r="U625">
        <v>3</v>
      </c>
      <c r="V625">
        <v>11</v>
      </c>
      <c r="W625">
        <v>2</v>
      </c>
    </row>
    <row r="626" spans="1:23" x14ac:dyDescent="0.25">
      <c r="A626" s="1" t="s">
        <v>23</v>
      </c>
      <c r="B626" s="1" t="s">
        <v>44</v>
      </c>
      <c r="C626" s="1" t="s">
        <v>57</v>
      </c>
      <c r="D626" s="1" t="s">
        <v>26</v>
      </c>
      <c r="E626" s="1" t="s">
        <v>55</v>
      </c>
      <c r="F626" s="1" t="s">
        <v>46</v>
      </c>
      <c r="G626" s="1" t="s">
        <v>684</v>
      </c>
      <c r="H626">
        <v>625</v>
      </c>
      <c r="I626" s="1" t="s">
        <v>30</v>
      </c>
      <c r="J626" s="1" t="s">
        <v>48</v>
      </c>
      <c r="K626" s="1" t="s">
        <v>38</v>
      </c>
      <c r="L626" s="1" t="s">
        <v>23</v>
      </c>
      <c r="M626">
        <v>44</v>
      </c>
      <c r="N626">
        <v>38890</v>
      </c>
      <c r="O626">
        <v>3</v>
      </c>
      <c r="P626">
        <v>1</v>
      </c>
      <c r="Q626">
        <v>23</v>
      </c>
      <c r="R626">
        <v>41</v>
      </c>
      <c r="S626">
        <v>3</v>
      </c>
      <c r="T626">
        <v>2</v>
      </c>
      <c r="U626">
        <v>4</v>
      </c>
      <c r="V626">
        <v>26</v>
      </c>
      <c r="W626">
        <v>4</v>
      </c>
    </row>
    <row r="627" spans="1:23" x14ac:dyDescent="0.25">
      <c r="A627" s="1" t="s">
        <v>23</v>
      </c>
      <c r="B627" s="1" t="s">
        <v>54</v>
      </c>
      <c r="C627" s="1" t="s">
        <v>65</v>
      </c>
      <c r="D627" s="1" t="s">
        <v>26</v>
      </c>
      <c r="E627" s="1" t="s">
        <v>55</v>
      </c>
      <c r="F627" s="1" t="s">
        <v>28</v>
      </c>
      <c r="G627" s="1" t="s">
        <v>685</v>
      </c>
      <c r="H627">
        <v>626</v>
      </c>
      <c r="I627" s="1" t="s">
        <v>36</v>
      </c>
      <c r="J627" s="1" t="s">
        <v>43</v>
      </c>
      <c r="K627" s="1" t="s">
        <v>32</v>
      </c>
      <c r="L627" s="1" t="s">
        <v>33</v>
      </c>
      <c r="M627">
        <v>59</v>
      </c>
      <c r="N627">
        <v>86230</v>
      </c>
      <c r="O627">
        <v>3</v>
      </c>
      <c r="P627">
        <v>3</v>
      </c>
      <c r="Q627">
        <v>20</v>
      </c>
      <c r="R627">
        <v>7</v>
      </c>
      <c r="S627">
        <v>0</v>
      </c>
      <c r="T627">
        <v>4</v>
      </c>
      <c r="U627">
        <v>4</v>
      </c>
      <c r="V627">
        <v>17</v>
      </c>
      <c r="W627">
        <v>2</v>
      </c>
    </row>
    <row r="628" spans="1:23" x14ac:dyDescent="0.25">
      <c r="A628" s="1" t="s">
        <v>23</v>
      </c>
      <c r="B628" s="1" t="s">
        <v>24</v>
      </c>
      <c r="C628" s="1" t="s">
        <v>39</v>
      </c>
      <c r="D628" s="1" t="s">
        <v>26</v>
      </c>
      <c r="E628" s="1" t="s">
        <v>55</v>
      </c>
      <c r="F628" s="1" t="s">
        <v>68</v>
      </c>
      <c r="G628" s="1" t="s">
        <v>686</v>
      </c>
      <c r="H628">
        <v>627</v>
      </c>
      <c r="I628" s="1" t="s">
        <v>30</v>
      </c>
      <c r="J628" s="1" t="s">
        <v>70</v>
      </c>
      <c r="K628" s="1" t="s">
        <v>50</v>
      </c>
      <c r="L628" s="1" t="s">
        <v>23</v>
      </c>
      <c r="M628">
        <v>37</v>
      </c>
      <c r="N628">
        <v>163379</v>
      </c>
      <c r="O628">
        <v>4</v>
      </c>
      <c r="P628">
        <v>1</v>
      </c>
      <c r="Q628">
        <v>8</v>
      </c>
      <c r="R628">
        <v>2</v>
      </c>
      <c r="S628">
        <v>6</v>
      </c>
      <c r="T628">
        <v>4</v>
      </c>
      <c r="U628">
        <v>3</v>
      </c>
      <c r="V628">
        <v>23</v>
      </c>
      <c r="W628">
        <v>2</v>
      </c>
    </row>
    <row r="629" spans="1:23" x14ac:dyDescent="0.25">
      <c r="A629" s="1" t="s">
        <v>33</v>
      </c>
      <c r="B629" s="1" t="s">
        <v>44</v>
      </c>
      <c r="C629" s="1" t="s">
        <v>34</v>
      </c>
      <c r="D629" s="1" t="s">
        <v>73</v>
      </c>
      <c r="E629" s="1" t="s">
        <v>51</v>
      </c>
      <c r="F629" s="1" t="s">
        <v>68</v>
      </c>
      <c r="G629" s="1" t="s">
        <v>687</v>
      </c>
      <c r="H629">
        <v>628</v>
      </c>
      <c r="I629" s="1" t="s">
        <v>36</v>
      </c>
      <c r="J629" s="1" t="s">
        <v>70</v>
      </c>
      <c r="K629" s="1" t="s">
        <v>38</v>
      </c>
      <c r="L629" s="1" t="s">
        <v>33</v>
      </c>
      <c r="M629">
        <v>39</v>
      </c>
      <c r="N629">
        <v>49202</v>
      </c>
      <c r="O629">
        <v>3</v>
      </c>
      <c r="P629">
        <v>3</v>
      </c>
      <c r="Q629">
        <v>37</v>
      </c>
      <c r="R629">
        <v>38</v>
      </c>
      <c r="S629">
        <v>4</v>
      </c>
      <c r="T629">
        <v>1</v>
      </c>
      <c r="U629">
        <v>3</v>
      </c>
      <c r="V629">
        <v>3</v>
      </c>
      <c r="W629">
        <v>3</v>
      </c>
    </row>
    <row r="630" spans="1:23" x14ac:dyDescent="0.25">
      <c r="A630" s="1" t="s">
        <v>33</v>
      </c>
      <c r="B630" s="1" t="s">
        <v>44</v>
      </c>
      <c r="C630" s="1" t="s">
        <v>65</v>
      </c>
      <c r="D630" s="1" t="s">
        <v>73</v>
      </c>
      <c r="E630" s="1" t="s">
        <v>46</v>
      </c>
      <c r="F630" s="1" t="s">
        <v>52</v>
      </c>
      <c r="G630" s="1" t="s">
        <v>688</v>
      </c>
      <c r="H630">
        <v>629</v>
      </c>
      <c r="I630" s="1" t="s">
        <v>36</v>
      </c>
      <c r="J630" s="1" t="s">
        <v>76</v>
      </c>
      <c r="K630" s="1" t="s">
        <v>38</v>
      </c>
      <c r="L630" s="1" t="s">
        <v>33</v>
      </c>
      <c r="M630">
        <v>32</v>
      </c>
      <c r="N630">
        <v>172549</v>
      </c>
      <c r="O630">
        <v>1</v>
      </c>
      <c r="P630">
        <v>2</v>
      </c>
      <c r="Q630">
        <v>0</v>
      </c>
      <c r="R630">
        <v>37</v>
      </c>
      <c r="S630">
        <v>4</v>
      </c>
      <c r="T630">
        <v>3</v>
      </c>
      <c r="U630">
        <v>4</v>
      </c>
      <c r="V630">
        <v>13</v>
      </c>
      <c r="W630">
        <v>3</v>
      </c>
    </row>
    <row r="631" spans="1:23" x14ac:dyDescent="0.25">
      <c r="A631" s="1" t="s">
        <v>23</v>
      </c>
      <c r="B631" s="1" t="s">
        <v>44</v>
      </c>
      <c r="C631" s="1" t="s">
        <v>39</v>
      </c>
      <c r="D631" s="1" t="s">
        <v>26</v>
      </c>
      <c r="E631" s="1" t="s">
        <v>51</v>
      </c>
      <c r="F631" s="1" t="s">
        <v>66</v>
      </c>
      <c r="G631" s="1" t="s">
        <v>689</v>
      </c>
      <c r="H631">
        <v>630</v>
      </c>
      <c r="I631" s="1" t="s">
        <v>30</v>
      </c>
      <c r="J631" s="1" t="s">
        <v>76</v>
      </c>
      <c r="K631" s="1" t="s">
        <v>38</v>
      </c>
      <c r="L631" s="1" t="s">
        <v>23</v>
      </c>
      <c r="M631">
        <v>24</v>
      </c>
      <c r="N631">
        <v>165883</v>
      </c>
      <c r="O631">
        <v>4</v>
      </c>
      <c r="P631">
        <v>3</v>
      </c>
      <c r="Q631">
        <v>20</v>
      </c>
      <c r="R631">
        <v>24</v>
      </c>
      <c r="S631">
        <v>2</v>
      </c>
      <c r="T631">
        <v>2</v>
      </c>
      <c r="U631">
        <v>3</v>
      </c>
      <c r="V631">
        <v>2</v>
      </c>
      <c r="W631">
        <v>2</v>
      </c>
    </row>
    <row r="632" spans="1:23" x14ac:dyDescent="0.25">
      <c r="A632" s="1" t="s">
        <v>23</v>
      </c>
      <c r="B632" s="1" t="s">
        <v>44</v>
      </c>
      <c r="C632" s="1" t="s">
        <v>34</v>
      </c>
      <c r="D632" s="1" t="s">
        <v>26</v>
      </c>
      <c r="E632" s="1" t="s">
        <v>51</v>
      </c>
      <c r="F632" s="1" t="s">
        <v>66</v>
      </c>
      <c r="G632" s="1" t="s">
        <v>690</v>
      </c>
      <c r="H632">
        <v>631</v>
      </c>
      <c r="I632" s="1" t="s">
        <v>36</v>
      </c>
      <c r="J632" s="1" t="s">
        <v>76</v>
      </c>
      <c r="K632" s="1" t="s">
        <v>50</v>
      </c>
      <c r="L632" s="1" t="s">
        <v>33</v>
      </c>
      <c r="M632">
        <v>39</v>
      </c>
      <c r="N632">
        <v>89787</v>
      </c>
      <c r="O632">
        <v>4</v>
      </c>
      <c r="P632">
        <v>4</v>
      </c>
      <c r="Q632">
        <v>14</v>
      </c>
      <c r="R632">
        <v>10</v>
      </c>
      <c r="S632">
        <v>2</v>
      </c>
      <c r="T632">
        <v>3</v>
      </c>
      <c r="U632">
        <v>3</v>
      </c>
      <c r="V632">
        <v>30</v>
      </c>
      <c r="W632">
        <v>2</v>
      </c>
    </row>
    <row r="633" spans="1:23" x14ac:dyDescent="0.25">
      <c r="A633" s="1" t="s">
        <v>23</v>
      </c>
      <c r="B633" s="1" t="s">
        <v>54</v>
      </c>
      <c r="C633" s="1" t="s">
        <v>34</v>
      </c>
      <c r="D633" s="1" t="s">
        <v>26</v>
      </c>
      <c r="E633" s="1" t="s">
        <v>55</v>
      </c>
      <c r="F633" s="1" t="s">
        <v>41</v>
      </c>
      <c r="G633" s="1" t="s">
        <v>691</v>
      </c>
      <c r="H633">
        <v>632</v>
      </c>
      <c r="I633" s="1" t="s">
        <v>30</v>
      </c>
      <c r="J633" s="1" t="s">
        <v>64</v>
      </c>
      <c r="K633" s="1" t="s">
        <v>32</v>
      </c>
      <c r="L633" s="1" t="s">
        <v>33</v>
      </c>
      <c r="M633">
        <v>55</v>
      </c>
      <c r="N633">
        <v>159011</v>
      </c>
      <c r="O633">
        <v>2</v>
      </c>
      <c r="P633">
        <v>1</v>
      </c>
      <c r="Q633">
        <v>31</v>
      </c>
      <c r="R633">
        <v>1</v>
      </c>
      <c r="S633">
        <v>2</v>
      </c>
      <c r="T633">
        <v>2</v>
      </c>
      <c r="U633">
        <v>4</v>
      </c>
      <c r="V633">
        <v>19</v>
      </c>
      <c r="W633">
        <v>4</v>
      </c>
    </row>
    <row r="634" spans="1:23" x14ac:dyDescent="0.25">
      <c r="A634" s="1" t="s">
        <v>23</v>
      </c>
      <c r="B634" s="1" t="s">
        <v>44</v>
      </c>
      <c r="C634" s="1" t="s">
        <v>39</v>
      </c>
      <c r="D634" s="1" t="s">
        <v>26</v>
      </c>
      <c r="E634" s="1" t="s">
        <v>40</v>
      </c>
      <c r="F634" s="1" t="s">
        <v>66</v>
      </c>
      <c r="G634" s="1" t="s">
        <v>692</v>
      </c>
      <c r="H634">
        <v>633</v>
      </c>
      <c r="I634" s="1" t="s">
        <v>30</v>
      </c>
      <c r="J634" s="1" t="s">
        <v>86</v>
      </c>
      <c r="K634" s="1" t="s">
        <v>38</v>
      </c>
      <c r="L634" s="1" t="s">
        <v>23</v>
      </c>
      <c r="M634">
        <v>37</v>
      </c>
      <c r="N634">
        <v>40770</v>
      </c>
      <c r="O634">
        <v>2</v>
      </c>
      <c r="P634">
        <v>3</v>
      </c>
      <c r="Q634">
        <v>7</v>
      </c>
      <c r="R634">
        <v>22</v>
      </c>
      <c r="S634">
        <v>6</v>
      </c>
      <c r="T634">
        <v>1</v>
      </c>
      <c r="U634">
        <v>3</v>
      </c>
      <c r="V634">
        <v>24</v>
      </c>
      <c r="W634">
        <v>1</v>
      </c>
    </row>
    <row r="635" spans="1:23" x14ac:dyDescent="0.25">
      <c r="A635" s="1" t="s">
        <v>23</v>
      </c>
      <c r="B635" s="1" t="s">
        <v>44</v>
      </c>
      <c r="C635" s="1" t="s">
        <v>39</v>
      </c>
      <c r="D635" s="1" t="s">
        <v>26</v>
      </c>
      <c r="E635" s="1" t="s">
        <v>27</v>
      </c>
      <c r="F635" s="1" t="s">
        <v>52</v>
      </c>
      <c r="G635" s="1" t="s">
        <v>693</v>
      </c>
      <c r="H635">
        <v>634</v>
      </c>
      <c r="I635" s="1" t="s">
        <v>30</v>
      </c>
      <c r="J635" s="1" t="s">
        <v>37</v>
      </c>
      <c r="K635" s="1" t="s">
        <v>50</v>
      </c>
      <c r="L635" s="1" t="s">
        <v>23</v>
      </c>
      <c r="M635">
        <v>27</v>
      </c>
      <c r="N635">
        <v>154654</v>
      </c>
      <c r="O635">
        <v>3</v>
      </c>
      <c r="P635">
        <v>2</v>
      </c>
      <c r="Q635">
        <v>35</v>
      </c>
      <c r="R635">
        <v>42</v>
      </c>
      <c r="S635">
        <v>6</v>
      </c>
      <c r="T635">
        <v>1</v>
      </c>
      <c r="U635">
        <v>3</v>
      </c>
      <c r="V635">
        <v>8</v>
      </c>
      <c r="W635">
        <v>2</v>
      </c>
    </row>
    <row r="636" spans="1:23" x14ac:dyDescent="0.25">
      <c r="A636" s="1" t="s">
        <v>23</v>
      </c>
      <c r="B636" s="1" t="s">
        <v>54</v>
      </c>
      <c r="C636" s="1" t="s">
        <v>65</v>
      </c>
      <c r="D636" s="1" t="s">
        <v>26</v>
      </c>
      <c r="E636" s="1" t="s">
        <v>55</v>
      </c>
      <c r="F636" s="1" t="s">
        <v>28</v>
      </c>
      <c r="G636" s="1" t="s">
        <v>694</v>
      </c>
      <c r="H636">
        <v>635</v>
      </c>
      <c r="I636" s="1" t="s">
        <v>36</v>
      </c>
      <c r="J636" s="1" t="s">
        <v>86</v>
      </c>
      <c r="K636" s="1" t="s">
        <v>50</v>
      </c>
      <c r="L636" s="1" t="s">
        <v>23</v>
      </c>
      <c r="M636">
        <v>32</v>
      </c>
      <c r="N636">
        <v>148213</v>
      </c>
      <c r="O636">
        <v>3</v>
      </c>
      <c r="P636">
        <v>2</v>
      </c>
      <c r="Q636">
        <v>12</v>
      </c>
      <c r="R636">
        <v>40</v>
      </c>
      <c r="S636">
        <v>0</v>
      </c>
      <c r="T636">
        <v>2</v>
      </c>
      <c r="U636">
        <v>3</v>
      </c>
      <c r="V636">
        <v>14</v>
      </c>
      <c r="W636">
        <v>1</v>
      </c>
    </row>
    <row r="637" spans="1:23" x14ac:dyDescent="0.25">
      <c r="A637" s="1" t="s">
        <v>23</v>
      </c>
      <c r="B637" s="1" t="s">
        <v>24</v>
      </c>
      <c r="C637" s="1" t="s">
        <v>39</v>
      </c>
      <c r="D637" s="1" t="s">
        <v>26</v>
      </c>
      <c r="E637" s="1" t="s">
        <v>46</v>
      </c>
      <c r="F637" s="1" t="s">
        <v>66</v>
      </c>
      <c r="G637" s="1" t="s">
        <v>695</v>
      </c>
      <c r="H637">
        <v>636</v>
      </c>
      <c r="I637" s="1" t="s">
        <v>36</v>
      </c>
      <c r="J637" s="1" t="s">
        <v>76</v>
      </c>
      <c r="K637" s="1" t="s">
        <v>32</v>
      </c>
      <c r="L637" s="1" t="s">
        <v>23</v>
      </c>
      <c r="M637">
        <v>58</v>
      </c>
      <c r="N637">
        <v>79529</v>
      </c>
      <c r="O637">
        <v>3</v>
      </c>
      <c r="P637">
        <v>4</v>
      </c>
      <c r="Q637">
        <v>33</v>
      </c>
      <c r="R637">
        <v>42</v>
      </c>
      <c r="S637">
        <v>1</v>
      </c>
      <c r="T637">
        <v>3</v>
      </c>
      <c r="U637">
        <v>3</v>
      </c>
      <c r="V637">
        <v>29</v>
      </c>
      <c r="W637">
        <v>3</v>
      </c>
    </row>
    <row r="638" spans="1:23" x14ac:dyDescent="0.25">
      <c r="A638" s="1" t="s">
        <v>23</v>
      </c>
      <c r="B638" s="1" t="s">
        <v>44</v>
      </c>
      <c r="C638" s="1" t="s">
        <v>39</v>
      </c>
      <c r="D638" s="1" t="s">
        <v>26</v>
      </c>
      <c r="E638" s="1" t="s">
        <v>46</v>
      </c>
      <c r="F638" s="1" t="s">
        <v>41</v>
      </c>
      <c r="G638" s="1" t="s">
        <v>696</v>
      </c>
      <c r="H638">
        <v>637</v>
      </c>
      <c r="I638" s="1" t="s">
        <v>36</v>
      </c>
      <c r="J638" s="1" t="s">
        <v>59</v>
      </c>
      <c r="K638" s="1" t="s">
        <v>38</v>
      </c>
      <c r="L638" s="1" t="s">
        <v>23</v>
      </c>
      <c r="M638">
        <v>27</v>
      </c>
      <c r="N638">
        <v>75391</v>
      </c>
      <c r="O638">
        <v>1</v>
      </c>
      <c r="P638">
        <v>3</v>
      </c>
      <c r="Q638">
        <v>26</v>
      </c>
      <c r="R638">
        <v>28</v>
      </c>
      <c r="S638">
        <v>2</v>
      </c>
      <c r="T638">
        <v>2</v>
      </c>
      <c r="U638">
        <v>4</v>
      </c>
      <c r="V638">
        <v>4</v>
      </c>
      <c r="W638">
        <v>2</v>
      </c>
    </row>
    <row r="639" spans="1:23" x14ac:dyDescent="0.25">
      <c r="A639" s="1" t="s">
        <v>23</v>
      </c>
      <c r="B639" s="1" t="s">
        <v>44</v>
      </c>
      <c r="C639" s="1" t="s">
        <v>34</v>
      </c>
      <c r="D639" s="1" t="s">
        <v>26</v>
      </c>
      <c r="E639" s="1" t="s">
        <v>60</v>
      </c>
      <c r="F639" s="1" t="s">
        <v>52</v>
      </c>
      <c r="G639" s="1" t="s">
        <v>697</v>
      </c>
      <c r="H639">
        <v>638</v>
      </c>
      <c r="I639" s="1" t="s">
        <v>36</v>
      </c>
      <c r="J639" s="1" t="s">
        <v>70</v>
      </c>
      <c r="K639" s="1" t="s">
        <v>38</v>
      </c>
      <c r="L639" s="1" t="s">
        <v>23</v>
      </c>
      <c r="M639">
        <v>59</v>
      </c>
      <c r="N639">
        <v>126004</v>
      </c>
      <c r="O639">
        <v>2</v>
      </c>
      <c r="P639">
        <v>1</v>
      </c>
      <c r="Q639">
        <v>18</v>
      </c>
      <c r="R639">
        <v>17</v>
      </c>
      <c r="S639">
        <v>4</v>
      </c>
      <c r="T639">
        <v>2</v>
      </c>
      <c r="U639">
        <v>4</v>
      </c>
      <c r="V639">
        <v>2</v>
      </c>
      <c r="W639">
        <v>5</v>
      </c>
    </row>
    <row r="640" spans="1:23" x14ac:dyDescent="0.25">
      <c r="A640" s="1" t="s">
        <v>23</v>
      </c>
      <c r="B640" s="1" t="s">
        <v>44</v>
      </c>
      <c r="C640" s="1" t="s">
        <v>34</v>
      </c>
      <c r="D640" s="1" t="s">
        <v>26</v>
      </c>
      <c r="E640" s="1" t="s">
        <v>27</v>
      </c>
      <c r="F640" s="1" t="s">
        <v>68</v>
      </c>
      <c r="G640" s="1" t="s">
        <v>698</v>
      </c>
      <c r="H640">
        <v>639</v>
      </c>
      <c r="I640" s="1" t="s">
        <v>36</v>
      </c>
      <c r="J640" s="1" t="s">
        <v>41</v>
      </c>
      <c r="K640" s="1" t="s">
        <v>38</v>
      </c>
      <c r="L640" s="1" t="s">
        <v>23</v>
      </c>
      <c r="M640">
        <v>24</v>
      </c>
      <c r="N640">
        <v>88337</v>
      </c>
      <c r="O640">
        <v>4</v>
      </c>
      <c r="P640">
        <v>2</v>
      </c>
      <c r="Q640">
        <v>21</v>
      </c>
      <c r="R640">
        <v>40</v>
      </c>
      <c r="S640">
        <v>6</v>
      </c>
      <c r="T640">
        <v>1</v>
      </c>
      <c r="U640">
        <v>4</v>
      </c>
      <c r="V640">
        <v>15</v>
      </c>
      <c r="W640">
        <v>4</v>
      </c>
    </row>
    <row r="641" spans="1:23" x14ac:dyDescent="0.25">
      <c r="A641" s="1" t="s">
        <v>23</v>
      </c>
      <c r="B641" s="1" t="s">
        <v>24</v>
      </c>
      <c r="C641" s="1" t="s">
        <v>65</v>
      </c>
      <c r="D641" s="1" t="s">
        <v>26</v>
      </c>
      <c r="E641" s="1" t="s">
        <v>51</v>
      </c>
      <c r="F641" s="1" t="s">
        <v>52</v>
      </c>
      <c r="G641" s="1" t="s">
        <v>699</v>
      </c>
      <c r="H641">
        <v>640</v>
      </c>
      <c r="I641" s="1" t="s">
        <v>30</v>
      </c>
      <c r="J641" s="1" t="s">
        <v>43</v>
      </c>
      <c r="K641" s="1" t="s">
        <v>32</v>
      </c>
      <c r="L641" s="1" t="s">
        <v>23</v>
      </c>
      <c r="M641">
        <v>29</v>
      </c>
      <c r="N641">
        <v>176586</v>
      </c>
      <c r="O641">
        <v>1</v>
      </c>
      <c r="P641">
        <v>1</v>
      </c>
      <c r="Q641">
        <v>24</v>
      </c>
      <c r="R641">
        <v>5</v>
      </c>
      <c r="S641">
        <v>6</v>
      </c>
      <c r="T641">
        <v>3</v>
      </c>
      <c r="U641">
        <v>4</v>
      </c>
      <c r="V641">
        <v>25</v>
      </c>
      <c r="W641">
        <v>5</v>
      </c>
    </row>
    <row r="642" spans="1:23" x14ac:dyDescent="0.25">
      <c r="A642" s="1" t="s">
        <v>23</v>
      </c>
      <c r="B642" s="1" t="s">
        <v>44</v>
      </c>
      <c r="C642" s="1" t="s">
        <v>25</v>
      </c>
      <c r="D642" s="1" t="s">
        <v>26</v>
      </c>
      <c r="E642" s="1" t="s">
        <v>55</v>
      </c>
      <c r="F642" s="1" t="s">
        <v>41</v>
      </c>
      <c r="G642" s="1" t="s">
        <v>700</v>
      </c>
      <c r="H642">
        <v>641</v>
      </c>
      <c r="I642" s="1" t="s">
        <v>30</v>
      </c>
      <c r="J642" s="1" t="s">
        <v>70</v>
      </c>
      <c r="K642" s="1" t="s">
        <v>32</v>
      </c>
      <c r="L642" s="1" t="s">
        <v>23</v>
      </c>
      <c r="M642">
        <v>35</v>
      </c>
      <c r="N642">
        <v>94070</v>
      </c>
      <c r="O642">
        <v>2</v>
      </c>
      <c r="P642">
        <v>3</v>
      </c>
      <c r="Q642">
        <v>21</v>
      </c>
      <c r="R642">
        <v>26</v>
      </c>
      <c r="S642">
        <v>1</v>
      </c>
      <c r="T642">
        <v>2</v>
      </c>
      <c r="U642">
        <v>3</v>
      </c>
      <c r="V642">
        <v>2</v>
      </c>
      <c r="W642">
        <v>1</v>
      </c>
    </row>
    <row r="643" spans="1:23" x14ac:dyDescent="0.25">
      <c r="A643" s="1" t="s">
        <v>23</v>
      </c>
      <c r="B643" s="1" t="s">
        <v>44</v>
      </c>
      <c r="C643" s="1" t="s">
        <v>39</v>
      </c>
      <c r="D643" s="1" t="s">
        <v>26</v>
      </c>
      <c r="E643" s="1" t="s">
        <v>51</v>
      </c>
      <c r="F643" s="1" t="s">
        <v>68</v>
      </c>
      <c r="G643" s="1" t="s">
        <v>701</v>
      </c>
      <c r="H643">
        <v>642</v>
      </c>
      <c r="I643" s="1" t="s">
        <v>30</v>
      </c>
      <c r="J643" s="1" t="s">
        <v>70</v>
      </c>
      <c r="K643" s="1" t="s">
        <v>38</v>
      </c>
      <c r="L643" s="1" t="s">
        <v>23</v>
      </c>
      <c r="M643">
        <v>22</v>
      </c>
      <c r="N643">
        <v>78294</v>
      </c>
      <c r="O643">
        <v>2</v>
      </c>
      <c r="P643">
        <v>1</v>
      </c>
      <c r="Q643">
        <v>17</v>
      </c>
      <c r="R643">
        <v>7</v>
      </c>
      <c r="S643">
        <v>6</v>
      </c>
      <c r="T643">
        <v>4</v>
      </c>
      <c r="U643">
        <v>4</v>
      </c>
      <c r="V643">
        <v>5</v>
      </c>
      <c r="W643">
        <v>3</v>
      </c>
    </row>
    <row r="644" spans="1:23" x14ac:dyDescent="0.25">
      <c r="A644" s="1" t="s">
        <v>33</v>
      </c>
      <c r="B644" s="1" t="s">
        <v>54</v>
      </c>
      <c r="C644" s="1" t="s">
        <v>25</v>
      </c>
      <c r="D644" s="1" t="s">
        <v>73</v>
      </c>
      <c r="E644" s="1" t="s">
        <v>51</v>
      </c>
      <c r="F644" s="1" t="s">
        <v>52</v>
      </c>
      <c r="G644" s="1" t="s">
        <v>702</v>
      </c>
      <c r="H644">
        <v>643</v>
      </c>
      <c r="I644" s="1" t="s">
        <v>36</v>
      </c>
      <c r="J644" s="1" t="s">
        <v>64</v>
      </c>
      <c r="K644" s="1" t="s">
        <v>50</v>
      </c>
      <c r="L644" s="1" t="s">
        <v>33</v>
      </c>
      <c r="M644">
        <v>27</v>
      </c>
      <c r="N644">
        <v>172191</v>
      </c>
      <c r="O644">
        <v>4</v>
      </c>
      <c r="P644">
        <v>2</v>
      </c>
      <c r="Q644">
        <v>38</v>
      </c>
      <c r="R644">
        <v>19</v>
      </c>
      <c r="S644">
        <v>6</v>
      </c>
      <c r="T644">
        <v>3</v>
      </c>
      <c r="U644">
        <v>4</v>
      </c>
      <c r="V644">
        <v>17</v>
      </c>
      <c r="W644">
        <v>1</v>
      </c>
    </row>
    <row r="645" spans="1:23" x14ac:dyDescent="0.25">
      <c r="A645" s="1" t="s">
        <v>23</v>
      </c>
      <c r="B645" s="1" t="s">
        <v>44</v>
      </c>
      <c r="C645" s="1" t="s">
        <v>39</v>
      </c>
      <c r="D645" s="1" t="s">
        <v>26</v>
      </c>
      <c r="E645" s="1" t="s">
        <v>60</v>
      </c>
      <c r="F645" s="1" t="s">
        <v>52</v>
      </c>
      <c r="G645" s="1" t="s">
        <v>703</v>
      </c>
      <c r="H645">
        <v>644</v>
      </c>
      <c r="I645" s="1" t="s">
        <v>36</v>
      </c>
      <c r="J645" s="1" t="s">
        <v>41</v>
      </c>
      <c r="K645" s="1" t="s">
        <v>38</v>
      </c>
      <c r="L645" s="1" t="s">
        <v>23</v>
      </c>
      <c r="M645">
        <v>26</v>
      </c>
      <c r="N645">
        <v>76262</v>
      </c>
      <c r="O645">
        <v>4</v>
      </c>
      <c r="P645">
        <v>3</v>
      </c>
      <c r="Q645">
        <v>30</v>
      </c>
      <c r="R645">
        <v>18</v>
      </c>
      <c r="S645">
        <v>5</v>
      </c>
      <c r="T645">
        <v>2</v>
      </c>
      <c r="U645">
        <v>4</v>
      </c>
      <c r="V645">
        <v>1</v>
      </c>
      <c r="W645">
        <v>4</v>
      </c>
    </row>
    <row r="646" spans="1:23" x14ac:dyDescent="0.25">
      <c r="A646" s="1" t="s">
        <v>23</v>
      </c>
      <c r="B646" s="1" t="s">
        <v>54</v>
      </c>
      <c r="C646" s="1" t="s">
        <v>57</v>
      </c>
      <c r="D646" s="1" t="s">
        <v>26</v>
      </c>
      <c r="E646" s="1" t="s">
        <v>51</v>
      </c>
      <c r="F646" s="1" t="s">
        <v>66</v>
      </c>
      <c r="G646" s="1" t="s">
        <v>704</v>
      </c>
      <c r="H646">
        <v>645</v>
      </c>
      <c r="I646" s="1" t="s">
        <v>36</v>
      </c>
      <c r="J646" s="1" t="s">
        <v>48</v>
      </c>
      <c r="K646" s="1" t="s">
        <v>32</v>
      </c>
      <c r="L646" s="1" t="s">
        <v>33</v>
      </c>
      <c r="M646">
        <v>46</v>
      </c>
      <c r="N646">
        <v>78847</v>
      </c>
      <c r="O646">
        <v>4</v>
      </c>
      <c r="P646">
        <v>3</v>
      </c>
      <c r="Q646">
        <v>30</v>
      </c>
      <c r="R646">
        <v>36</v>
      </c>
      <c r="S646">
        <v>0</v>
      </c>
      <c r="T646">
        <v>3</v>
      </c>
      <c r="U646">
        <v>4</v>
      </c>
      <c r="V646">
        <v>5</v>
      </c>
      <c r="W646">
        <v>1</v>
      </c>
    </row>
    <row r="647" spans="1:23" x14ac:dyDescent="0.25">
      <c r="A647" s="1" t="s">
        <v>23</v>
      </c>
      <c r="B647" s="1" t="s">
        <v>54</v>
      </c>
      <c r="C647" s="1" t="s">
        <v>34</v>
      </c>
      <c r="D647" s="1" t="s">
        <v>26</v>
      </c>
      <c r="E647" s="1" t="s">
        <v>40</v>
      </c>
      <c r="F647" s="1" t="s">
        <v>28</v>
      </c>
      <c r="G647" s="1" t="s">
        <v>705</v>
      </c>
      <c r="H647">
        <v>646</v>
      </c>
      <c r="I647" s="1" t="s">
        <v>30</v>
      </c>
      <c r="J647" s="1" t="s">
        <v>70</v>
      </c>
      <c r="K647" s="1" t="s">
        <v>38</v>
      </c>
      <c r="L647" s="1" t="s">
        <v>23</v>
      </c>
      <c r="M647">
        <v>54</v>
      </c>
      <c r="N647">
        <v>166541</v>
      </c>
      <c r="O647">
        <v>2</v>
      </c>
      <c r="P647">
        <v>1</v>
      </c>
      <c r="Q647">
        <v>31</v>
      </c>
      <c r="R647">
        <v>16</v>
      </c>
      <c r="S647">
        <v>3</v>
      </c>
      <c r="T647">
        <v>3</v>
      </c>
      <c r="U647">
        <v>4</v>
      </c>
      <c r="V647">
        <v>27</v>
      </c>
      <c r="W647">
        <v>2</v>
      </c>
    </row>
    <row r="648" spans="1:23" x14ac:dyDescent="0.25">
      <c r="A648" s="1" t="s">
        <v>23</v>
      </c>
      <c r="B648" s="1" t="s">
        <v>44</v>
      </c>
      <c r="C648" s="1" t="s">
        <v>39</v>
      </c>
      <c r="D648" s="1" t="s">
        <v>26</v>
      </c>
      <c r="E648" s="1" t="s">
        <v>51</v>
      </c>
      <c r="F648" s="1" t="s">
        <v>66</v>
      </c>
      <c r="G648" s="1" t="s">
        <v>706</v>
      </c>
      <c r="H648">
        <v>647</v>
      </c>
      <c r="I648" s="1" t="s">
        <v>36</v>
      </c>
      <c r="J648" s="1" t="s">
        <v>48</v>
      </c>
      <c r="K648" s="1" t="s">
        <v>32</v>
      </c>
      <c r="L648" s="1" t="s">
        <v>23</v>
      </c>
      <c r="M648">
        <v>55</v>
      </c>
      <c r="N648">
        <v>149023</v>
      </c>
      <c r="O648">
        <v>3</v>
      </c>
      <c r="P648">
        <v>2</v>
      </c>
      <c r="Q648">
        <v>20</v>
      </c>
      <c r="R648">
        <v>29</v>
      </c>
      <c r="S648">
        <v>5</v>
      </c>
      <c r="T648">
        <v>4</v>
      </c>
      <c r="U648">
        <v>3</v>
      </c>
      <c r="V648">
        <v>30</v>
      </c>
      <c r="W648">
        <v>1</v>
      </c>
    </row>
    <row r="649" spans="1:23" x14ac:dyDescent="0.25">
      <c r="A649" s="1" t="s">
        <v>23</v>
      </c>
      <c r="B649" s="1" t="s">
        <v>24</v>
      </c>
      <c r="C649" s="1" t="s">
        <v>25</v>
      </c>
      <c r="D649" s="1" t="s">
        <v>26</v>
      </c>
      <c r="E649" s="1" t="s">
        <v>55</v>
      </c>
      <c r="F649" s="1" t="s">
        <v>28</v>
      </c>
      <c r="G649" s="1" t="s">
        <v>707</v>
      </c>
      <c r="H649">
        <v>648</v>
      </c>
      <c r="I649" s="1" t="s">
        <v>30</v>
      </c>
      <c r="J649" s="1" t="s">
        <v>70</v>
      </c>
      <c r="K649" s="1" t="s">
        <v>50</v>
      </c>
      <c r="L649" s="1" t="s">
        <v>23</v>
      </c>
      <c r="M649">
        <v>28</v>
      </c>
      <c r="N649">
        <v>28239</v>
      </c>
      <c r="O649">
        <v>4</v>
      </c>
      <c r="P649">
        <v>4</v>
      </c>
      <c r="Q649">
        <v>10</v>
      </c>
      <c r="R649">
        <v>40</v>
      </c>
      <c r="S649">
        <v>6</v>
      </c>
      <c r="T649">
        <v>4</v>
      </c>
      <c r="U649">
        <v>3</v>
      </c>
      <c r="V649">
        <v>24</v>
      </c>
      <c r="W649">
        <v>5</v>
      </c>
    </row>
    <row r="650" spans="1:23" x14ac:dyDescent="0.25">
      <c r="A650" s="1" t="s">
        <v>23</v>
      </c>
      <c r="B650" s="1" t="s">
        <v>44</v>
      </c>
      <c r="C650" s="1" t="s">
        <v>25</v>
      </c>
      <c r="D650" s="1" t="s">
        <v>26</v>
      </c>
      <c r="E650" s="1" t="s">
        <v>60</v>
      </c>
      <c r="F650" s="1" t="s">
        <v>46</v>
      </c>
      <c r="G650" s="1" t="s">
        <v>708</v>
      </c>
      <c r="H650">
        <v>649</v>
      </c>
      <c r="I650" s="1" t="s">
        <v>36</v>
      </c>
      <c r="J650" s="1" t="s">
        <v>59</v>
      </c>
      <c r="K650" s="1" t="s">
        <v>38</v>
      </c>
      <c r="L650" s="1" t="s">
        <v>23</v>
      </c>
      <c r="M650">
        <v>57</v>
      </c>
      <c r="N650">
        <v>61501</v>
      </c>
      <c r="O650">
        <v>2</v>
      </c>
      <c r="P650">
        <v>3</v>
      </c>
      <c r="Q650">
        <v>33</v>
      </c>
      <c r="R650">
        <v>13</v>
      </c>
      <c r="S650">
        <v>6</v>
      </c>
      <c r="T650">
        <v>3</v>
      </c>
      <c r="U650">
        <v>4</v>
      </c>
      <c r="V650">
        <v>16</v>
      </c>
      <c r="W650">
        <v>4</v>
      </c>
    </row>
    <row r="651" spans="1:23" x14ac:dyDescent="0.25">
      <c r="A651" s="1" t="s">
        <v>23</v>
      </c>
      <c r="B651" s="1" t="s">
        <v>54</v>
      </c>
      <c r="C651" s="1" t="s">
        <v>34</v>
      </c>
      <c r="D651" s="1" t="s">
        <v>26</v>
      </c>
      <c r="E651" s="1" t="s">
        <v>46</v>
      </c>
      <c r="F651" s="1" t="s">
        <v>28</v>
      </c>
      <c r="G651" s="1" t="s">
        <v>709</v>
      </c>
      <c r="H651">
        <v>650</v>
      </c>
      <c r="I651" s="1" t="s">
        <v>30</v>
      </c>
      <c r="J651" s="1" t="s">
        <v>59</v>
      </c>
      <c r="K651" s="1" t="s">
        <v>32</v>
      </c>
      <c r="L651" s="1" t="s">
        <v>23</v>
      </c>
      <c r="M651">
        <v>21</v>
      </c>
      <c r="N651">
        <v>101280</v>
      </c>
      <c r="O651">
        <v>4</v>
      </c>
      <c r="P651">
        <v>2</v>
      </c>
      <c r="Q651">
        <v>9</v>
      </c>
      <c r="R651">
        <v>30</v>
      </c>
      <c r="S651">
        <v>0</v>
      </c>
      <c r="T651">
        <v>1</v>
      </c>
      <c r="U651">
        <v>4</v>
      </c>
      <c r="V651">
        <v>23</v>
      </c>
      <c r="W651">
        <v>2</v>
      </c>
    </row>
    <row r="652" spans="1:23" x14ac:dyDescent="0.25">
      <c r="A652" s="1" t="s">
        <v>23</v>
      </c>
      <c r="B652" s="1" t="s">
        <v>44</v>
      </c>
      <c r="C652" s="1" t="s">
        <v>25</v>
      </c>
      <c r="D652" s="1" t="s">
        <v>26</v>
      </c>
      <c r="E652" s="1" t="s">
        <v>40</v>
      </c>
      <c r="F652" s="1" t="s">
        <v>66</v>
      </c>
      <c r="G652" s="1" t="s">
        <v>710</v>
      </c>
      <c r="H652">
        <v>651</v>
      </c>
      <c r="I652" s="1" t="s">
        <v>30</v>
      </c>
      <c r="J652" s="1" t="s">
        <v>43</v>
      </c>
      <c r="K652" s="1" t="s">
        <v>38</v>
      </c>
      <c r="L652" s="1" t="s">
        <v>33</v>
      </c>
      <c r="M652">
        <v>25</v>
      </c>
      <c r="N652">
        <v>109869</v>
      </c>
      <c r="O652">
        <v>2</v>
      </c>
      <c r="P652">
        <v>3</v>
      </c>
      <c r="Q652">
        <v>40</v>
      </c>
      <c r="R652">
        <v>0</v>
      </c>
      <c r="S652">
        <v>1</v>
      </c>
      <c r="T652">
        <v>3</v>
      </c>
      <c r="U652">
        <v>4</v>
      </c>
      <c r="V652">
        <v>27</v>
      </c>
      <c r="W652">
        <v>4</v>
      </c>
    </row>
    <row r="653" spans="1:23" x14ac:dyDescent="0.25">
      <c r="A653" s="1" t="s">
        <v>23</v>
      </c>
      <c r="B653" s="1" t="s">
        <v>44</v>
      </c>
      <c r="C653" s="1" t="s">
        <v>34</v>
      </c>
      <c r="D653" s="1" t="s">
        <v>26</v>
      </c>
      <c r="E653" s="1" t="s">
        <v>51</v>
      </c>
      <c r="F653" s="1" t="s">
        <v>46</v>
      </c>
      <c r="G653" s="1" t="s">
        <v>711</v>
      </c>
      <c r="H653">
        <v>652</v>
      </c>
      <c r="I653" s="1" t="s">
        <v>30</v>
      </c>
      <c r="J653" s="1" t="s">
        <v>31</v>
      </c>
      <c r="K653" s="1" t="s">
        <v>32</v>
      </c>
      <c r="L653" s="1" t="s">
        <v>33</v>
      </c>
      <c r="M653">
        <v>27</v>
      </c>
      <c r="N653">
        <v>74738</v>
      </c>
      <c r="O653">
        <v>3</v>
      </c>
      <c r="P653">
        <v>2</v>
      </c>
      <c r="Q653">
        <v>16</v>
      </c>
      <c r="R653">
        <v>36</v>
      </c>
      <c r="S653">
        <v>0</v>
      </c>
      <c r="T653">
        <v>2</v>
      </c>
      <c r="U653">
        <v>4</v>
      </c>
      <c r="V653">
        <v>11</v>
      </c>
      <c r="W653">
        <v>5</v>
      </c>
    </row>
    <row r="654" spans="1:23" x14ac:dyDescent="0.25">
      <c r="A654" s="1" t="s">
        <v>23</v>
      </c>
      <c r="B654" s="1" t="s">
        <v>54</v>
      </c>
      <c r="C654" s="1" t="s">
        <v>39</v>
      </c>
      <c r="D654" s="1" t="s">
        <v>26</v>
      </c>
      <c r="E654" s="1" t="s">
        <v>27</v>
      </c>
      <c r="F654" s="1" t="s">
        <v>41</v>
      </c>
      <c r="G654" s="1" t="s">
        <v>712</v>
      </c>
      <c r="H654">
        <v>653</v>
      </c>
      <c r="I654" s="1" t="s">
        <v>36</v>
      </c>
      <c r="J654" s="1" t="s">
        <v>48</v>
      </c>
      <c r="K654" s="1" t="s">
        <v>50</v>
      </c>
      <c r="L654" s="1" t="s">
        <v>33</v>
      </c>
      <c r="M654">
        <v>35</v>
      </c>
      <c r="N654">
        <v>74739</v>
      </c>
      <c r="O654">
        <v>1</v>
      </c>
      <c r="P654">
        <v>2</v>
      </c>
      <c r="Q654">
        <v>9</v>
      </c>
      <c r="R654">
        <v>10</v>
      </c>
      <c r="S654">
        <v>3</v>
      </c>
      <c r="T654">
        <v>1</v>
      </c>
      <c r="U654">
        <v>4</v>
      </c>
      <c r="V654">
        <v>3</v>
      </c>
      <c r="W654">
        <v>1</v>
      </c>
    </row>
    <row r="655" spans="1:23" x14ac:dyDescent="0.25">
      <c r="A655" s="1" t="s">
        <v>23</v>
      </c>
      <c r="B655" s="1" t="s">
        <v>54</v>
      </c>
      <c r="C655" s="1" t="s">
        <v>65</v>
      </c>
      <c r="D655" s="1" t="s">
        <v>26</v>
      </c>
      <c r="E655" s="1" t="s">
        <v>40</v>
      </c>
      <c r="F655" s="1" t="s">
        <v>68</v>
      </c>
      <c r="G655" s="1" t="s">
        <v>713</v>
      </c>
      <c r="H655">
        <v>654</v>
      </c>
      <c r="I655" s="1" t="s">
        <v>36</v>
      </c>
      <c r="J655" s="1" t="s">
        <v>76</v>
      </c>
      <c r="K655" s="1" t="s">
        <v>32</v>
      </c>
      <c r="L655" s="1" t="s">
        <v>33</v>
      </c>
      <c r="M655">
        <v>36</v>
      </c>
      <c r="N655">
        <v>164838</v>
      </c>
      <c r="O655">
        <v>4</v>
      </c>
      <c r="P655">
        <v>4</v>
      </c>
      <c r="Q655">
        <v>24</v>
      </c>
      <c r="R655">
        <v>30</v>
      </c>
      <c r="S655">
        <v>2</v>
      </c>
      <c r="T655">
        <v>3</v>
      </c>
      <c r="U655">
        <v>4</v>
      </c>
      <c r="V655">
        <v>17</v>
      </c>
      <c r="W655">
        <v>1</v>
      </c>
    </row>
    <row r="656" spans="1:23" x14ac:dyDescent="0.25">
      <c r="A656" s="1" t="s">
        <v>33</v>
      </c>
      <c r="B656" s="1" t="s">
        <v>54</v>
      </c>
      <c r="C656" s="1" t="s">
        <v>65</v>
      </c>
      <c r="D656" s="1" t="s">
        <v>73</v>
      </c>
      <c r="E656" s="1" t="s">
        <v>55</v>
      </c>
      <c r="F656" s="1" t="s">
        <v>46</v>
      </c>
      <c r="G656" s="1" t="s">
        <v>714</v>
      </c>
      <c r="H656">
        <v>655</v>
      </c>
      <c r="I656" s="1" t="s">
        <v>30</v>
      </c>
      <c r="J656" s="1" t="s">
        <v>41</v>
      </c>
      <c r="K656" s="1" t="s">
        <v>32</v>
      </c>
      <c r="L656" s="1" t="s">
        <v>23</v>
      </c>
      <c r="M656">
        <v>52</v>
      </c>
      <c r="N656">
        <v>83677</v>
      </c>
      <c r="O656">
        <v>1</v>
      </c>
      <c r="P656">
        <v>4</v>
      </c>
      <c r="Q656">
        <v>22</v>
      </c>
      <c r="R656">
        <v>11</v>
      </c>
      <c r="S656">
        <v>0</v>
      </c>
      <c r="T656">
        <v>3</v>
      </c>
      <c r="U656">
        <v>4</v>
      </c>
      <c r="V656">
        <v>25</v>
      </c>
      <c r="W656">
        <v>3</v>
      </c>
    </row>
    <row r="657" spans="1:23" x14ac:dyDescent="0.25">
      <c r="A657" s="1" t="s">
        <v>23</v>
      </c>
      <c r="B657" s="1" t="s">
        <v>24</v>
      </c>
      <c r="C657" s="1" t="s">
        <v>34</v>
      </c>
      <c r="D657" s="1" t="s">
        <v>26</v>
      </c>
      <c r="E657" s="1" t="s">
        <v>51</v>
      </c>
      <c r="F657" s="1" t="s">
        <v>68</v>
      </c>
      <c r="G657" s="1" t="s">
        <v>715</v>
      </c>
      <c r="H657">
        <v>656</v>
      </c>
      <c r="I657" s="1" t="s">
        <v>36</v>
      </c>
      <c r="J657" s="1" t="s">
        <v>70</v>
      </c>
      <c r="K657" s="1" t="s">
        <v>32</v>
      </c>
      <c r="L657" s="1" t="s">
        <v>33</v>
      </c>
      <c r="M657">
        <v>33</v>
      </c>
      <c r="N657">
        <v>133888</v>
      </c>
      <c r="O657">
        <v>3</v>
      </c>
      <c r="P657">
        <v>2</v>
      </c>
      <c r="Q657">
        <v>0</v>
      </c>
      <c r="R657">
        <v>37</v>
      </c>
      <c r="S657">
        <v>2</v>
      </c>
      <c r="T657">
        <v>3</v>
      </c>
      <c r="U657">
        <v>3</v>
      </c>
      <c r="V657">
        <v>30</v>
      </c>
      <c r="W657">
        <v>3</v>
      </c>
    </row>
    <row r="658" spans="1:23" x14ac:dyDescent="0.25">
      <c r="A658" s="1" t="s">
        <v>33</v>
      </c>
      <c r="B658" s="1" t="s">
        <v>54</v>
      </c>
      <c r="C658" s="1" t="s">
        <v>39</v>
      </c>
      <c r="D658" s="1" t="s">
        <v>73</v>
      </c>
      <c r="E658" s="1" t="s">
        <v>60</v>
      </c>
      <c r="F658" s="1" t="s">
        <v>46</v>
      </c>
      <c r="G658" s="1" t="s">
        <v>716</v>
      </c>
      <c r="H658">
        <v>657</v>
      </c>
      <c r="I658" s="1" t="s">
        <v>30</v>
      </c>
      <c r="J658" s="1" t="s">
        <v>76</v>
      </c>
      <c r="K658" s="1" t="s">
        <v>32</v>
      </c>
      <c r="L658" s="1" t="s">
        <v>23</v>
      </c>
      <c r="M658">
        <v>46</v>
      </c>
      <c r="N658">
        <v>29512</v>
      </c>
      <c r="O658">
        <v>3</v>
      </c>
      <c r="P658">
        <v>3</v>
      </c>
      <c r="Q658">
        <v>40</v>
      </c>
      <c r="R658">
        <v>3</v>
      </c>
      <c r="S658">
        <v>4</v>
      </c>
      <c r="T658">
        <v>1</v>
      </c>
      <c r="U658">
        <v>4</v>
      </c>
      <c r="V658">
        <v>20</v>
      </c>
      <c r="W658">
        <v>4</v>
      </c>
    </row>
    <row r="659" spans="1:23" x14ac:dyDescent="0.25">
      <c r="A659" s="1" t="s">
        <v>23</v>
      </c>
      <c r="B659" s="1" t="s">
        <v>54</v>
      </c>
      <c r="C659" s="1" t="s">
        <v>39</v>
      </c>
      <c r="D659" s="1" t="s">
        <v>26</v>
      </c>
      <c r="E659" s="1" t="s">
        <v>46</v>
      </c>
      <c r="F659" s="1" t="s">
        <v>66</v>
      </c>
      <c r="G659" s="1" t="s">
        <v>717</v>
      </c>
      <c r="H659">
        <v>658</v>
      </c>
      <c r="I659" s="1" t="s">
        <v>30</v>
      </c>
      <c r="J659" s="1" t="s">
        <v>37</v>
      </c>
      <c r="K659" s="1" t="s">
        <v>50</v>
      </c>
      <c r="L659" s="1" t="s">
        <v>33</v>
      </c>
      <c r="M659">
        <v>32</v>
      </c>
      <c r="N659">
        <v>52510</v>
      </c>
      <c r="O659">
        <v>1</v>
      </c>
      <c r="P659">
        <v>4</v>
      </c>
      <c r="Q659">
        <v>7</v>
      </c>
      <c r="R659">
        <v>3</v>
      </c>
      <c r="S659">
        <v>3</v>
      </c>
      <c r="T659">
        <v>1</v>
      </c>
      <c r="U659">
        <v>4</v>
      </c>
      <c r="V659">
        <v>4</v>
      </c>
      <c r="W659">
        <v>5</v>
      </c>
    </row>
    <row r="660" spans="1:23" x14ac:dyDescent="0.25">
      <c r="A660" s="1" t="s">
        <v>23</v>
      </c>
      <c r="B660" s="1" t="s">
        <v>54</v>
      </c>
      <c r="C660" s="1" t="s">
        <v>65</v>
      </c>
      <c r="D660" s="1" t="s">
        <v>26</v>
      </c>
      <c r="E660" s="1" t="s">
        <v>46</v>
      </c>
      <c r="F660" s="1" t="s">
        <v>52</v>
      </c>
      <c r="G660" s="1" t="s">
        <v>718</v>
      </c>
      <c r="H660">
        <v>659</v>
      </c>
      <c r="I660" s="1" t="s">
        <v>30</v>
      </c>
      <c r="J660" s="1" t="s">
        <v>37</v>
      </c>
      <c r="K660" s="1" t="s">
        <v>32</v>
      </c>
      <c r="L660" s="1" t="s">
        <v>23</v>
      </c>
      <c r="M660">
        <v>31</v>
      </c>
      <c r="N660">
        <v>171838</v>
      </c>
      <c r="O660">
        <v>3</v>
      </c>
      <c r="P660">
        <v>1</v>
      </c>
      <c r="Q660">
        <v>25</v>
      </c>
      <c r="R660">
        <v>26</v>
      </c>
      <c r="S660">
        <v>6</v>
      </c>
      <c r="T660">
        <v>1</v>
      </c>
      <c r="U660">
        <v>3</v>
      </c>
      <c r="V660">
        <v>7</v>
      </c>
      <c r="W660">
        <v>5</v>
      </c>
    </row>
    <row r="661" spans="1:23" x14ac:dyDescent="0.25">
      <c r="A661" s="1" t="s">
        <v>23</v>
      </c>
      <c r="B661" s="1" t="s">
        <v>44</v>
      </c>
      <c r="C661" s="1" t="s">
        <v>34</v>
      </c>
      <c r="D661" s="1" t="s">
        <v>26</v>
      </c>
      <c r="E661" s="1" t="s">
        <v>55</v>
      </c>
      <c r="F661" s="1" t="s">
        <v>66</v>
      </c>
      <c r="G661" s="1" t="s">
        <v>719</v>
      </c>
      <c r="H661">
        <v>660</v>
      </c>
      <c r="I661" s="1" t="s">
        <v>36</v>
      </c>
      <c r="J661" s="1" t="s">
        <v>43</v>
      </c>
      <c r="K661" s="1" t="s">
        <v>50</v>
      </c>
      <c r="L661" s="1" t="s">
        <v>23</v>
      </c>
      <c r="M661">
        <v>32</v>
      </c>
      <c r="N661">
        <v>18845</v>
      </c>
      <c r="O661">
        <v>3</v>
      </c>
      <c r="P661">
        <v>3</v>
      </c>
      <c r="Q661">
        <v>35</v>
      </c>
      <c r="R661">
        <v>22</v>
      </c>
      <c r="S661">
        <v>0</v>
      </c>
      <c r="T661">
        <v>3</v>
      </c>
      <c r="U661">
        <v>4</v>
      </c>
      <c r="V661">
        <v>19</v>
      </c>
      <c r="W661">
        <v>1</v>
      </c>
    </row>
    <row r="662" spans="1:23" x14ac:dyDescent="0.25">
      <c r="A662" s="1" t="s">
        <v>23</v>
      </c>
      <c r="B662" s="1" t="s">
        <v>24</v>
      </c>
      <c r="C662" s="1" t="s">
        <v>39</v>
      </c>
      <c r="D662" s="1" t="s">
        <v>26</v>
      </c>
      <c r="E662" s="1" t="s">
        <v>60</v>
      </c>
      <c r="F662" s="1" t="s">
        <v>28</v>
      </c>
      <c r="G662" s="1" t="s">
        <v>720</v>
      </c>
      <c r="H662">
        <v>661</v>
      </c>
      <c r="I662" s="1" t="s">
        <v>30</v>
      </c>
      <c r="J662" s="1" t="s">
        <v>70</v>
      </c>
      <c r="K662" s="1" t="s">
        <v>38</v>
      </c>
      <c r="L662" s="1" t="s">
        <v>33</v>
      </c>
      <c r="M662">
        <v>31</v>
      </c>
      <c r="N662">
        <v>20736</v>
      </c>
      <c r="O662">
        <v>2</v>
      </c>
      <c r="P662">
        <v>3</v>
      </c>
      <c r="Q662">
        <v>29</v>
      </c>
      <c r="R662">
        <v>5</v>
      </c>
      <c r="S662">
        <v>5</v>
      </c>
      <c r="T662">
        <v>2</v>
      </c>
      <c r="U662">
        <v>4</v>
      </c>
      <c r="V662">
        <v>27</v>
      </c>
      <c r="W662">
        <v>2</v>
      </c>
    </row>
    <row r="663" spans="1:23" x14ac:dyDescent="0.25">
      <c r="A663" s="1" t="s">
        <v>23</v>
      </c>
      <c r="B663" s="1" t="s">
        <v>24</v>
      </c>
      <c r="C663" s="1" t="s">
        <v>39</v>
      </c>
      <c r="D663" s="1" t="s">
        <v>26</v>
      </c>
      <c r="E663" s="1" t="s">
        <v>27</v>
      </c>
      <c r="F663" s="1" t="s">
        <v>68</v>
      </c>
      <c r="G663" s="1" t="s">
        <v>721</v>
      </c>
      <c r="H663">
        <v>662</v>
      </c>
      <c r="I663" s="1" t="s">
        <v>36</v>
      </c>
      <c r="J663" s="1" t="s">
        <v>70</v>
      </c>
      <c r="K663" s="1" t="s">
        <v>38</v>
      </c>
      <c r="L663" s="1" t="s">
        <v>33</v>
      </c>
      <c r="M663">
        <v>57</v>
      </c>
      <c r="N663">
        <v>100717</v>
      </c>
      <c r="O663">
        <v>4</v>
      </c>
      <c r="P663">
        <v>2</v>
      </c>
      <c r="Q663">
        <v>12</v>
      </c>
      <c r="R663">
        <v>17</v>
      </c>
      <c r="S663">
        <v>1</v>
      </c>
      <c r="T663">
        <v>2</v>
      </c>
      <c r="U663">
        <v>4</v>
      </c>
      <c r="V663">
        <v>9</v>
      </c>
      <c r="W663">
        <v>4</v>
      </c>
    </row>
    <row r="664" spans="1:23" x14ac:dyDescent="0.25">
      <c r="A664" s="1" t="s">
        <v>23</v>
      </c>
      <c r="B664" s="1" t="s">
        <v>44</v>
      </c>
      <c r="C664" s="1" t="s">
        <v>39</v>
      </c>
      <c r="D664" s="1" t="s">
        <v>26</v>
      </c>
      <c r="E664" s="1" t="s">
        <v>51</v>
      </c>
      <c r="F664" s="1" t="s">
        <v>46</v>
      </c>
      <c r="G664" s="1" t="s">
        <v>722</v>
      </c>
      <c r="H664">
        <v>663</v>
      </c>
      <c r="I664" s="1" t="s">
        <v>36</v>
      </c>
      <c r="J664" s="1" t="s">
        <v>70</v>
      </c>
      <c r="K664" s="1" t="s">
        <v>50</v>
      </c>
      <c r="L664" s="1" t="s">
        <v>23</v>
      </c>
      <c r="M664">
        <v>30</v>
      </c>
      <c r="N664">
        <v>159020</v>
      </c>
      <c r="O664">
        <v>2</v>
      </c>
      <c r="P664">
        <v>4</v>
      </c>
      <c r="Q664">
        <v>22</v>
      </c>
      <c r="R664">
        <v>41</v>
      </c>
      <c r="S664">
        <v>6</v>
      </c>
      <c r="T664">
        <v>3</v>
      </c>
      <c r="U664">
        <v>3</v>
      </c>
      <c r="V664">
        <v>11</v>
      </c>
      <c r="W664">
        <v>5</v>
      </c>
    </row>
    <row r="665" spans="1:23" x14ac:dyDescent="0.25">
      <c r="A665" s="1" t="s">
        <v>23</v>
      </c>
      <c r="B665" s="1" t="s">
        <v>24</v>
      </c>
      <c r="C665" s="1" t="s">
        <v>39</v>
      </c>
      <c r="D665" s="1" t="s">
        <v>26</v>
      </c>
      <c r="E665" s="1" t="s">
        <v>27</v>
      </c>
      <c r="F665" s="1" t="s">
        <v>41</v>
      </c>
      <c r="G665" s="1" t="s">
        <v>723</v>
      </c>
      <c r="H665">
        <v>664</v>
      </c>
      <c r="I665" s="1" t="s">
        <v>30</v>
      </c>
      <c r="J665" s="1" t="s">
        <v>76</v>
      </c>
      <c r="K665" s="1" t="s">
        <v>50</v>
      </c>
      <c r="L665" s="1" t="s">
        <v>23</v>
      </c>
      <c r="M665">
        <v>37</v>
      </c>
      <c r="N665">
        <v>26243</v>
      </c>
      <c r="O665">
        <v>1</v>
      </c>
      <c r="P665">
        <v>2</v>
      </c>
      <c r="Q665">
        <v>30</v>
      </c>
      <c r="R665">
        <v>8</v>
      </c>
      <c r="S665">
        <v>3</v>
      </c>
      <c r="T665">
        <v>3</v>
      </c>
      <c r="U665">
        <v>4</v>
      </c>
      <c r="V665">
        <v>19</v>
      </c>
      <c r="W665">
        <v>4</v>
      </c>
    </row>
    <row r="666" spans="1:23" x14ac:dyDescent="0.25">
      <c r="A666" s="1" t="s">
        <v>23</v>
      </c>
      <c r="B666" s="1" t="s">
        <v>54</v>
      </c>
      <c r="C666" s="1" t="s">
        <v>65</v>
      </c>
      <c r="D666" s="1" t="s">
        <v>26</v>
      </c>
      <c r="E666" s="1" t="s">
        <v>27</v>
      </c>
      <c r="F666" s="1" t="s">
        <v>66</v>
      </c>
      <c r="G666" s="1" t="s">
        <v>724</v>
      </c>
      <c r="H666">
        <v>665</v>
      </c>
      <c r="I666" s="1" t="s">
        <v>36</v>
      </c>
      <c r="J666" s="1" t="s">
        <v>64</v>
      </c>
      <c r="K666" s="1" t="s">
        <v>50</v>
      </c>
      <c r="L666" s="1" t="s">
        <v>23</v>
      </c>
      <c r="M666">
        <v>51</v>
      </c>
      <c r="N666">
        <v>105742</v>
      </c>
      <c r="O666">
        <v>3</v>
      </c>
      <c r="P666">
        <v>1</v>
      </c>
      <c r="Q666">
        <v>11</v>
      </c>
      <c r="R666">
        <v>22</v>
      </c>
      <c r="S666">
        <v>2</v>
      </c>
      <c r="T666">
        <v>2</v>
      </c>
      <c r="U666">
        <v>4</v>
      </c>
      <c r="V666">
        <v>18</v>
      </c>
      <c r="W666">
        <v>2</v>
      </c>
    </row>
    <row r="667" spans="1:23" x14ac:dyDescent="0.25">
      <c r="A667" s="1" t="s">
        <v>23</v>
      </c>
      <c r="B667" s="1" t="s">
        <v>44</v>
      </c>
      <c r="C667" s="1" t="s">
        <v>34</v>
      </c>
      <c r="D667" s="1" t="s">
        <v>26</v>
      </c>
      <c r="E667" s="1" t="s">
        <v>51</v>
      </c>
      <c r="F667" s="1" t="s">
        <v>41</v>
      </c>
      <c r="G667" s="1" t="s">
        <v>725</v>
      </c>
      <c r="H667">
        <v>666</v>
      </c>
      <c r="I667" s="1" t="s">
        <v>36</v>
      </c>
      <c r="J667" s="1" t="s">
        <v>41</v>
      </c>
      <c r="K667" s="1" t="s">
        <v>38</v>
      </c>
      <c r="L667" s="1" t="s">
        <v>33</v>
      </c>
      <c r="M667">
        <v>37</v>
      </c>
      <c r="N667">
        <v>115836</v>
      </c>
      <c r="O667">
        <v>3</v>
      </c>
      <c r="P667">
        <v>4</v>
      </c>
      <c r="Q667">
        <v>25</v>
      </c>
      <c r="R667">
        <v>19</v>
      </c>
      <c r="S667">
        <v>0</v>
      </c>
      <c r="T667">
        <v>2</v>
      </c>
      <c r="U667">
        <v>3</v>
      </c>
      <c r="V667">
        <v>14</v>
      </c>
      <c r="W667">
        <v>4</v>
      </c>
    </row>
    <row r="668" spans="1:23" x14ac:dyDescent="0.25">
      <c r="A668" s="1" t="s">
        <v>23</v>
      </c>
      <c r="B668" s="1" t="s">
        <v>54</v>
      </c>
      <c r="C668" s="1" t="s">
        <v>57</v>
      </c>
      <c r="D668" s="1" t="s">
        <v>26</v>
      </c>
      <c r="E668" s="1" t="s">
        <v>40</v>
      </c>
      <c r="F668" s="1" t="s">
        <v>66</v>
      </c>
      <c r="G668" s="1" t="s">
        <v>726</v>
      </c>
      <c r="H668">
        <v>667</v>
      </c>
      <c r="I668" s="1" t="s">
        <v>30</v>
      </c>
      <c r="J668" s="1" t="s">
        <v>59</v>
      </c>
      <c r="K668" s="1" t="s">
        <v>50</v>
      </c>
      <c r="L668" s="1" t="s">
        <v>23</v>
      </c>
      <c r="M668">
        <v>59</v>
      </c>
      <c r="N668">
        <v>155385</v>
      </c>
      <c r="O668">
        <v>2</v>
      </c>
      <c r="P668">
        <v>2</v>
      </c>
      <c r="Q668">
        <v>8</v>
      </c>
      <c r="R668">
        <v>42</v>
      </c>
      <c r="S668">
        <v>2</v>
      </c>
      <c r="T668">
        <v>1</v>
      </c>
      <c r="U668">
        <v>3</v>
      </c>
      <c r="V668">
        <v>10</v>
      </c>
      <c r="W668">
        <v>2</v>
      </c>
    </row>
    <row r="669" spans="1:23" x14ac:dyDescent="0.25">
      <c r="A669" s="1" t="s">
        <v>23</v>
      </c>
      <c r="B669" s="1" t="s">
        <v>44</v>
      </c>
      <c r="C669" s="1" t="s">
        <v>39</v>
      </c>
      <c r="D669" s="1" t="s">
        <v>26</v>
      </c>
      <c r="E669" s="1" t="s">
        <v>55</v>
      </c>
      <c r="F669" s="1" t="s">
        <v>66</v>
      </c>
      <c r="G669" s="1" t="s">
        <v>727</v>
      </c>
      <c r="H669">
        <v>668</v>
      </c>
      <c r="I669" s="1" t="s">
        <v>30</v>
      </c>
      <c r="J669" s="1" t="s">
        <v>48</v>
      </c>
      <c r="K669" s="1" t="s">
        <v>50</v>
      </c>
      <c r="L669" s="1" t="s">
        <v>23</v>
      </c>
      <c r="M669">
        <v>40</v>
      </c>
      <c r="N669">
        <v>39069</v>
      </c>
      <c r="O669">
        <v>2</v>
      </c>
      <c r="P669">
        <v>2</v>
      </c>
      <c r="Q669">
        <v>13</v>
      </c>
      <c r="R669">
        <v>27</v>
      </c>
      <c r="S669">
        <v>0</v>
      </c>
      <c r="T669">
        <v>2</v>
      </c>
      <c r="U669">
        <v>3</v>
      </c>
      <c r="V669">
        <v>22</v>
      </c>
      <c r="W669">
        <v>5</v>
      </c>
    </row>
    <row r="670" spans="1:23" x14ac:dyDescent="0.25">
      <c r="A670" s="1" t="s">
        <v>33</v>
      </c>
      <c r="B670" s="1" t="s">
        <v>24</v>
      </c>
      <c r="C670" s="1" t="s">
        <v>34</v>
      </c>
      <c r="D670" s="1" t="s">
        <v>73</v>
      </c>
      <c r="E670" s="1" t="s">
        <v>40</v>
      </c>
      <c r="F670" s="1" t="s">
        <v>46</v>
      </c>
      <c r="G670" s="1" t="s">
        <v>728</v>
      </c>
      <c r="H670">
        <v>669</v>
      </c>
      <c r="I670" s="1" t="s">
        <v>30</v>
      </c>
      <c r="J670" s="1" t="s">
        <v>86</v>
      </c>
      <c r="K670" s="1" t="s">
        <v>32</v>
      </c>
      <c r="L670" s="1" t="s">
        <v>23</v>
      </c>
      <c r="M670">
        <v>34</v>
      </c>
      <c r="N670">
        <v>141812</v>
      </c>
      <c r="O670">
        <v>4</v>
      </c>
      <c r="P670">
        <v>4</v>
      </c>
      <c r="Q670">
        <v>15</v>
      </c>
      <c r="R670">
        <v>6</v>
      </c>
      <c r="S670">
        <v>3</v>
      </c>
      <c r="T670">
        <v>2</v>
      </c>
      <c r="U670">
        <v>4</v>
      </c>
      <c r="V670">
        <v>25</v>
      </c>
      <c r="W670">
        <v>2</v>
      </c>
    </row>
    <row r="671" spans="1:23" x14ac:dyDescent="0.25">
      <c r="A671" s="1" t="s">
        <v>23</v>
      </c>
      <c r="B671" s="1" t="s">
        <v>54</v>
      </c>
      <c r="C671" s="1" t="s">
        <v>34</v>
      </c>
      <c r="D671" s="1" t="s">
        <v>26</v>
      </c>
      <c r="E671" s="1" t="s">
        <v>27</v>
      </c>
      <c r="F671" s="1" t="s">
        <v>52</v>
      </c>
      <c r="G671" s="1" t="s">
        <v>729</v>
      </c>
      <c r="H671">
        <v>670</v>
      </c>
      <c r="I671" s="1" t="s">
        <v>36</v>
      </c>
      <c r="J671" s="1" t="s">
        <v>43</v>
      </c>
      <c r="K671" s="1" t="s">
        <v>38</v>
      </c>
      <c r="L671" s="1" t="s">
        <v>33</v>
      </c>
      <c r="M671">
        <v>43</v>
      </c>
      <c r="N671">
        <v>146007</v>
      </c>
      <c r="O671">
        <v>1</v>
      </c>
      <c r="P671">
        <v>2</v>
      </c>
      <c r="Q671">
        <v>38</v>
      </c>
      <c r="R671">
        <v>11</v>
      </c>
      <c r="S671">
        <v>6</v>
      </c>
      <c r="T671">
        <v>2</v>
      </c>
      <c r="U671">
        <v>4</v>
      </c>
      <c r="V671">
        <v>12</v>
      </c>
      <c r="W671">
        <v>3</v>
      </c>
    </row>
    <row r="672" spans="1:23" x14ac:dyDescent="0.25">
      <c r="A672" s="1" t="s">
        <v>23</v>
      </c>
      <c r="B672" s="1" t="s">
        <v>44</v>
      </c>
      <c r="C672" s="1" t="s">
        <v>25</v>
      </c>
      <c r="D672" s="1" t="s">
        <v>26</v>
      </c>
      <c r="E672" s="1" t="s">
        <v>51</v>
      </c>
      <c r="F672" s="1" t="s">
        <v>66</v>
      </c>
      <c r="G672" s="1" t="s">
        <v>730</v>
      </c>
      <c r="H672">
        <v>671</v>
      </c>
      <c r="I672" s="1" t="s">
        <v>30</v>
      </c>
      <c r="J672" s="1" t="s">
        <v>70</v>
      </c>
      <c r="K672" s="1" t="s">
        <v>38</v>
      </c>
      <c r="L672" s="1" t="s">
        <v>33</v>
      </c>
      <c r="M672">
        <v>23</v>
      </c>
      <c r="N672">
        <v>73373</v>
      </c>
      <c r="O672">
        <v>3</v>
      </c>
      <c r="P672">
        <v>4</v>
      </c>
      <c r="Q672">
        <v>5</v>
      </c>
      <c r="R672">
        <v>21</v>
      </c>
      <c r="S672">
        <v>3</v>
      </c>
      <c r="T672">
        <v>2</v>
      </c>
      <c r="U672">
        <v>4</v>
      </c>
      <c r="V672">
        <v>5</v>
      </c>
      <c r="W672">
        <v>3</v>
      </c>
    </row>
    <row r="673" spans="1:23" x14ac:dyDescent="0.25">
      <c r="A673" s="1" t="s">
        <v>23</v>
      </c>
      <c r="B673" s="1" t="s">
        <v>24</v>
      </c>
      <c r="C673" s="1" t="s">
        <v>39</v>
      </c>
      <c r="D673" s="1" t="s">
        <v>26</v>
      </c>
      <c r="E673" s="1" t="s">
        <v>40</v>
      </c>
      <c r="F673" s="1" t="s">
        <v>46</v>
      </c>
      <c r="G673" s="1" t="s">
        <v>731</v>
      </c>
      <c r="H673">
        <v>672</v>
      </c>
      <c r="I673" s="1" t="s">
        <v>36</v>
      </c>
      <c r="J673" s="1" t="s">
        <v>70</v>
      </c>
      <c r="K673" s="1" t="s">
        <v>50</v>
      </c>
      <c r="L673" s="1" t="s">
        <v>23</v>
      </c>
      <c r="M673">
        <v>54</v>
      </c>
      <c r="N673">
        <v>45900</v>
      </c>
      <c r="O673">
        <v>4</v>
      </c>
      <c r="P673">
        <v>1</v>
      </c>
      <c r="Q673">
        <v>22</v>
      </c>
      <c r="R673">
        <v>6</v>
      </c>
      <c r="S673">
        <v>5</v>
      </c>
      <c r="T673">
        <v>4</v>
      </c>
      <c r="U673">
        <v>3</v>
      </c>
      <c r="V673">
        <v>6</v>
      </c>
      <c r="W673">
        <v>3</v>
      </c>
    </row>
    <row r="674" spans="1:23" x14ac:dyDescent="0.25">
      <c r="A674" s="1" t="s">
        <v>23</v>
      </c>
      <c r="B674" s="1" t="s">
        <v>44</v>
      </c>
      <c r="C674" s="1" t="s">
        <v>39</v>
      </c>
      <c r="D674" s="1" t="s">
        <v>26</v>
      </c>
      <c r="E674" s="1" t="s">
        <v>46</v>
      </c>
      <c r="F674" s="1" t="s">
        <v>66</v>
      </c>
      <c r="G674" s="1" t="s">
        <v>732</v>
      </c>
      <c r="H674">
        <v>673</v>
      </c>
      <c r="I674" s="1" t="s">
        <v>36</v>
      </c>
      <c r="J674" s="1" t="s">
        <v>41</v>
      </c>
      <c r="K674" s="1" t="s">
        <v>38</v>
      </c>
      <c r="L674" s="1" t="s">
        <v>33</v>
      </c>
      <c r="M674">
        <v>40</v>
      </c>
      <c r="N674">
        <v>129406</v>
      </c>
      <c r="O674">
        <v>3</v>
      </c>
      <c r="P674">
        <v>1</v>
      </c>
      <c r="Q674">
        <v>38</v>
      </c>
      <c r="R674">
        <v>28</v>
      </c>
      <c r="S674">
        <v>4</v>
      </c>
      <c r="T674">
        <v>3</v>
      </c>
      <c r="U674">
        <v>4</v>
      </c>
      <c r="V674">
        <v>23</v>
      </c>
      <c r="W674">
        <v>3</v>
      </c>
    </row>
    <row r="675" spans="1:23" x14ac:dyDescent="0.25">
      <c r="A675" s="1" t="s">
        <v>33</v>
      </c>
      <c r="B675" s="1" t="s">
        <v>24</v>
      </c>
      <c r="C675" s="1" t="s">
        <v>57</v>
      </c>
      <c r="D675" s="1" t="s">
        <v>73</v>
      </c>
      <c r="E675" s="1" t="s">
        <v>60</v>
      </c>
      <c r="F675" s="1" t="s">
        <v>68</v>
      </c>
      <c r="G675" s="1" t="s">
        <v>733</v>
      </c>
      <c r="H675">
        <v>674</v>
      </c>
      <c r="I675" s="1" t="s">
        <v>36</v>
      </c>
      <c r="J675" s="1" t="s">
        <v>31</v>
      </c>
      <c r="K675" s="1" t="s">
        <v>50</v>
      </c>
      <c r="L675" s="1" t="s">
        <v>33</v>
      </c>
      <c r="M675">
        <v>42</v>
      </c>
      <c r="N675">
        <v>172705</v>
      </c>
      <c r="O675">
        <v>3</v>
      </c>
      <c r="P675">
        <v>2</v>
      </c>
      <c r="Q675">
        <v>32</v>
      </c>
      <c r="R675">
        <v>39</v>
      </c>
      <c r="S675">
        <v>5</v>
      </c>
      <c r="T675">
        <v>4</v>
      </c>
      <c r="U675">
        <v>4</v>
      </c>
      <c r="V675">
        <v>2</v>
      </c>
      <c r="W675">
        <v>4</v>
      </c>
    </row>
    <row r="676" spans="1:23" x14ac:dyDescent="0.25">
      <c r="A676" s="1" t="s">
        <v>23</v>
      </c>
      <c r="B676" s="1" t="s">
        <v>44</v>
      </c>
      <c r="C676" s="1" t="s">
        <v>34</v>
      </c>
      <c r="D676" s="1" t="s">
        <v>26</v>
      </c>
      <c r="E676" s="1" t="s">
        <v>40</v>
      </c>
      <c r="F676" s="1" t="s">
        <v>46</v>
      </c>
      <c r="G676" s="1" t="s">
        <v>734</v>
      </c>
      <c r="H676">
        <v>675</v>
      </c>
      <c r="I676" s="1" t="s">
        <v>30</v>
      </c>
      <c r="J676" s="1" t="s">
        <v>43</v>
      </c>
      <c r="K676" s="1" t="s">
        <v>32</v>
      </c>
      <c r="L676" s="1" t="s">
        <v>23</v>
      </c>
      <c r="M676">
        <v>37</v>
      </c>
      <c r="N676">
        <v>129595</v>
      </c>
      <c r="O676">
        <v>3</v>
      </c>
      <c r="P676">
        <v>3</v>
      </c>
      <c r="Q676">
        <v>1</v>
      </c>
      <c r="R676">
        <v>34</v>
      </c>
      <c r="S676">
        <v>2</v>
      </c>
      <c r="T676">
        <v>2</v>
      </c>
      <c r="U676">
        <v>4</v>
      </c>
      <c r="V676">
        <v>12</v>
      </c>
      <c r="W676">
        <v>4</v>
      </c>
    </row>
    <row r="677" spans="1:23" x14ac:dyDescent="0.25">
      <c r="A677" s="1" t="s">
        <v>23</v>
      </c>
      <c r="B677" s="1" t="s">
        <v>24</v>
      </c>
      <c r="C677" s="1" t="s">
        <v>34</v>
      </c>
      <c r="D677" s="1" t="s">
        <v>26</v>
      </c>
      <c r="E677" s="1" t="s">
        <v>46</v>
      </c>
      <c r="F677" s="1" t="s">
        <v>41</v>
      </c>
      <c r="G677" s="1" t="s">
        <v>735</v>
      </c>
      <c r="H677">
        <v>676</v>
      </c>
      <c r="I677" s="1" t="s">
        <v>30</v>
      </c>
      <c r="J677" s="1" t="s">
        <v>37</v>
      </c>
      <c r="K677" s="1" t="s">
        <v>32</v>
      </c>
      <c r="L677" s="1" t="s">
        <v>33</v>
      </c>
      <c r="M677">
        <v>55</v>
      </c>
      <c r="N677">
        <v>121865</v>
      </c>
      <c r="O677">
        <v>2</v>
      </c>
      <c r="P677">
        <v>2</v>
      </c>
      <c r="Q677">
        <v>5</v>
      </c>
      <c r="R677">
        <v>34</v>
      </c>
      <c r="S677">
        <v>0</v>
      </c>
      <c r="T677">
        <v>2</v>
      </c>
      <c r="U677">
        <v>3</v>
      </c>
      <c r="V677">
        <v>21</v>
      </c>
      <c r="W677">
        <v>4</v>
      </c>
    </row>
    <row r="678" spans="1:23" x14ac:dyDescent="0.25">
      <c r="A678" s="1" t="s">
        <v>23</v>
      </c>
      <c r="B678" s="1" t="s">
        <v>54</v>
      </c>
      <c r="C678" s="1" t="s">
        <v>34</v>
      </c>
      <c r="D678" s="1" t="s">
        <v>26</v>
      </c>
      <c r="E678" s="1" t="s">
        <v>40</v>
      </c>
      <c r="F678" s="1" t="s">
        <v>41</v>
      </c>
      <c r="G678" s="1" t="s">
        <v>736</v>
      </c>
      <c r="H678">
        <v>677</v>
      </c>
      <c r="I678" s="1" t="s">
        <v>30</v>
      </c>
      <c r="J678" s="1" t="s">
        <v>59</v>
      </c>
      <c r="K678" s="1" t="s">
        <v>32</v>
      </c>
      <c r="L678" s="1" t="s">
        <v>23</v>
      </c>
      <c r="M678">
        <v>23</v>
      </c>
      <c r="N678">
        <v>38063</v>
      </c>
      <c r="O678">
        <v>3</v>
      </c>
      <c r="P678">
        <v>3</v>
      </c>
      <c r="Q678">
        <v>2</v>
      </c>
      <c r="R678">
        <v>9</v>
      </c>
      <c r="S678">
        <v>4</v>
      </c>
      <c r="T678">
        <v>1</v>
      </c>
      <c r="U678">
        <v>4</v>
      </c>
      <c r="V678">
        <v>17</v>
      </c>
      <c r="W678">
        <v>1</v>
      </c>
    </row>
    <row r="679" spans="1:23" x14ac:dyDescent="0.25">
      <c r="A679" s="1" t="s">
        <v>23</v>
      </c>
      <c r="B679" s="1" t="s">
        <v>44</v>
      </c>
      <c r="C679" s="1" t="s">
        <v>39</v>
      </c>
      <c r="D679" s="1" t="s">
        <v>26</v>
      </c>
      <c r="E679" s="1" t="s">
        <v>27</v>
      </c>
      <c r="F679" s="1" t="s">
        <v>68</v>
      </c>
      <c r="G679" s="1" t="s">
        <v>737</v>
      </c>
      <c r="H679">
        <v>678</v>
      </c>
      <c r="I679" s="1" t="s">
        <v>30</v>
      </c>
      <c r="J679" s="1" t="s">
        <v>70</v>
      </c>
      <c r="K679" s="1" t="s">
        <v>32</v>
      </c>
      <c r="L679" s="1" t="s">
        <v>23</v>
      </c>
      <c r="M679">
        <v>26</v>
      </c>
      <c r="N679">
        <v>131622</v>
      </c>
      <c r="O679">
        <v>1</v>
      </c>
      <c r="P679">
        <v>2</v>
      </c>
      <c r="Q679">
        <v>36</v>
      </c>
      <c r="R679">
        <v>16</v>
      </c>
      <c r="S679">
        <v>2</v>
      </c>
      <c r="T679">
        <v>2</v>
      </c>
      <c r="U679">
        <v>3</v>
      </c>
      <c r="V679">
        <v>12</v>
      </c>
      <c r="W679">
        <v>5</v>
      </c>
    </row>
    <row r="680" spans="1:23" x14ac:dyDescent="0.25">
      <c r="A680" s="1" t="s">
        <v>23</v>
      </c>
      <c r="B680" s="1" t="s">
        <v>44</v>
      </c>
      <c r="C680" s="1" t="s">
        <v>65</v>
      </c>
      <c r="D680" s="1" t="s">
        <v>26</v>
      </c>
      <c r="E680" s="1" t="s">
        <v>40</v>
      </c>
      <c r="F680" s="1" t="s">
        <v>52</v>
      </c>
      <c r="G680" s="1" t="s">
        <v>738</v>
      </c>
      <c r="H680">
        <v>679</v>
      </c>
      <c r="I680" s="1" t="s">
        <v>30</v>
      </c>
      <c r="J680" s="1" t="s">
        <v>76</v>
      </c>
      <c r="K680" s="1" t="s">
        <v>32</v>
      </c>
      <c r="L680" s="1" t="s">
        <v>33</v>
      </c>
      <c r="M680">
        <v>59</v>
      </c>
      <c r="N680">
        <v>122509</v>
      </c>
      <c r="O680">
        <v>2</v>
      </c>
      <c r="P680">
        <v>3</v>
      </c>
      <c r="Q680">
        <v>17</v>
      </c>
      <c r="R680">
        <v>0</v>
      </c>
      <c r="S680">
        <v>3</v>
      </c>
      <c r="T680">
        <v>2</v>
      </c>
      <c r="U680">
        <v>3</v>
      </c>
      <c r="V680">
        <v>26</v>
      </c>
      <c r="W680">
        <v>4</v>
      </c>
    </row>
    <row r="681" spans="1:23" x14ac:dyDescent="0.25">
      <c r="A681" s="1" t="s">
        <v>23</v>
      </c>
      <c r="B681" s="1" t="s">
        <v>54</v>
      </c>
      <c r="C681" s="1" t="s">
        <v>34</v>
      </c>
      <c r="D681" s="1" t="s">
        <v>26</v>
      </c>
      <c r="E681" s="1" t="s">
        <v>40</v>
      </c>
      <c r="F681" s="1" t="s">
        <v>52</v>
      </c>
      <c r="G681" s="1" t="s">
        <v>739</v>
      </c>
      <c r="H681">
        <v>680</v>
      </c>
      <c r="I681" s="1" t="s">
        <v>36</v>
      </c>
      <c r="J681" s="1" t="s">
        <v>31</v>
      </c>
      <c r="K681" s="1" t="s">
        <v>50</v>
      </c>
      <c r="L681" s="1" t="s">
        <v>33</v>
      </c>
      <c r="M681">
        <v>22</v>
      </c>
      <c r="N681">
        <v>103094</v>
      </c>
      <c r="O681">
        <v>2</v>
      </c>
      <c r="P681">
        <v>1</v>
      </c>
      <c r="Q681">
        <v>39</v>
      </c>
      <c r="R681">
        <v>18</v>
      </c>
      <c r="S681">
        <v>5</v>
      </c>
      <c r="T681">
        <v>4</v>
      </c>
      <c r="U681">
        <v>4</v>
      </c>
      <c r="V681">
        <v>21</v>
      </c>
      <c r="W681">
        <v>5</v>
      </c>
    </row>
    <row r="682" spans="1:23" x14ac:dyDescent="0.25">
      <c r="A682" s="1" t="s">
        <v>23</v>
      </c>
      <c r="B682" s="1" t="s">
        <v>24</v>
      </c>
      <c r="C682" s="1" t="s">
        <v>34</v>
      </c>
      <c r="D682" s="1" t="s">
        <v>26</v>
      </c>
      <c r="E682" s="1" t="s">
        <v>51</v>
      </c>
      <c r="F682" s="1" t="s">
        <v>46</v>
      </c>
      <c r="G682" s="1" t="s">
        <v>740</v>
      </c>
      <c r="H682">
        <v>681</v>
      </c>
      <c r="I682" s="1" t="s">
        <v>36</v>
      </c>
      <c r="J682" s="1" t="s">
        <v>37</v>
      </c>
      <c r="K682" s="1" t="s">
        <v>38</v>
      </c>
      <c r="L682" s="1" t="s">
        <v>23</v>
      </c>
      <c r="M682">
        <v>30</v>
      </c>
      <c r="N682">
        <v>139096</v>
      </c>
      <c r="O682">
        <v>4</v>
      </c>
      <c r="P682">
        <v>2</v>
      </c>
      <c r="Q682">
        <v>34</v>
      </c>
      <c r="R682">
        <v>10</v>
      </c>
      <c r="S682">
        <v>5</v>
      </c>
      <c r="T682">
        <v>4</v>
      </c>
      <c r="U682">
        <v>4</v>
      </c>
      <c r="V682">
        <v>13</v>
      </c>
      <c r="W682">
        <v>1</v>
      </c>
    </row>
    <row r="683" spans="1:23" x14ac:dyDescent="0.25">
      <c r="A683" s="1" t="s">
        <v>23</v>
      </c>
      <c r="B683" s="1" t="s">
        <v>54</v>
      </c>
      <c r="C683" s="1" t="s">
        <v>39</v>
      </c>
      <c r="D683" s="1" t="s">
        <v>26</v>
      </c>
      <c r="E683" s="1" t="s">
        <v>60</v>
      </c>
      <c r="F683" s="1" t="s">
        <v>68</v>
      </c>
      <c r="G683" s="1" t="s">
        <v>741</v>
      </c>
      <c r="H683">
        <v>682</v>
      </c>
      <c r="I683" s="1" t="s">
        <v>36</v>
      </c>
      <c r="J683" s="1" t="s">
        <v>31</v>
      </c>
      <c r="K683" s="1" t="s">
        <v>50</v>
      </c>
      <c r="L683" s="1" t="s">
        <v>23</v>
      </c>
      <c r="M683">
        <v>40</v>
      </c>
      <c r="N683">
        <v>94499</v>
      </c>
      <c r="O683">
        <v>3</v>
      </c>
      <c r="P683">
        <v>4</v>
      </c>
      <c r="Q683">
        <v>29</v>
      </c>
      <c r="R683">
        <v>1</v>
      </c>
      <c r="S683">
        <v>1</v>
      </c>
      <c r="T683">
        <v>2</v>
      </c>
      <c r="U683">
        <v>4</v>
      </c>
      <c r="V683">
        <v>19</v>
      </c>
      <c r="W683">
        <v>4</v>
      </c>
    </row>
    <row r="684" spans="1:23" x14ac:dyDescent="0.25">
      <c r="A684" s="1" t="s">
        <v>23</v>
      </c>
      <c r="B684" s="1" t="s">
        <v>54</v>
      </c>
      <c r="C684" s="1" t="s">
        <v>65</v>
      </c>
      <c r="D684" s="1" t="s">
        <v>26</v>
      </c>
      <c r="E684" s="1" t="s">
        <v>27</v>
      </c>
      <c r="F684" s="1" t="s">
        <v>52</v>
      </c>
      <c r="G684" s="1" t="s">
        <v>742</v>
      </c>
      <c r="H684">
        <v>683</v>
      </c>
      <c r="I684" s="1" t="s">
        <v>36</v>
      </c>
      <c r="J684" s="1" t="s">
        <v>48</v>
      </c>
      <c r="K684" s="1" t="s">
        <v>38</v>
      </c>
      <c r="L684" s="1" t="s">
        <v>33</v>
      </c>
      <c r="M684">
        <v>45</v>
      </c>
      <c r="N684">
        <v>177153</v>
      </c>
      <c r="O684">
        <v>1</v>
      </c>
      <c r="P684">
        <v>1</v>
      </c>
      <c r="Q684">
        <v>25</v>
      </c>
      <c r="R684">
        <v>13</v>
      </c>
      <c r="S684">
        <v>1</v>
      </c>
      <c r="T684">
        <v>1</v>
      </c>
      <c r="U684">
        <v>4</v>
      </c>
      <c r="V684">
        <v>6</v>
      </c>
      <c r="W684">
        <v>2</v>
      </c>
    </row>
    <row r="685" spans="1:23" x14ac:dyDescent="0.25">
      <c r="A685" s="1" t="s">
        <v>23</v>
      </c>
      <c r="B685" s="1" t="s">
        <v>54</v>
      </c>
      <c r="C685" s="1" t="s">
        <v>57</v>
      </c>
      <c r="D685" s="1" t="s">
        <v>26</v>
      </c>
      <c r="E685" s="1" t="s">
        <v>40</v>
      </c>
      <c r="F685" s="1" t="s">
        <v>68</v>
      </c>
      <c r="G685" s="1" t="s">
        <v>743</v>
      </c>
      <c r="H685">
        <v>684</v>
      </c>
      <c r="I685" s="1" t="s">
        <v>36</v>
      </c>
      <c r="J685" s="1" t="s">
        <v>48</v>
      </c>
      <c r="K685" s="1" t="s">
        <v>38</v>
      </c>
      <c r="L685" s="1" t="s">
        <v>23</v>
      </c>
      <c r="M685">
        <v>41</v>
      </c>
      <c r="N685">
        <v>113204</v>
      </c>
      <c r="O685">
        <v>1</v>
      </c>
      <c r="P685">
        <v>3</v>
      </c>
      <c r="Q685">
        <v>32</v>
      </c>
      <c r="R685">
        <v>34</v>
      </c>
      <c r="S685">
        <v>4</v>
      </c>
      <c r="T685">
        <v>4</v>
      </c>
      <c r="U685">
        <v>3</v>
      </c>
      <c r="V685">
        <v>28</v>
      </c>
      <c r="W685">
        <v>4</v>
      </c>
    </row>
    <row r="686" spans="1:23" x14ac:dyDescent="0.25">
      <c r="A686" s="1" t="s">
        <v>23</v>
      </c>
      <c r="B686" s="1" t="s">
        <v>24</v>
      </c>
      <c r="C686" s="1" t="s">
        <v>39</v>
      </c>
      <c r="D686" s="1" t="s">
        <v>26</v>
      </c>
      <c r="E686" s="1" t="s">
        <v>40</v>
      </c>
      <c r="F686" s="1" t="s">
        <v>28</v>
      </c>
      <c r="G686" s="1" t="s">
        <v>744</v>
      </c>
      <c r="H686">
        <v>685</v>
      </c>
      <c r="I686" s="1" t="s">
        <v>36</v>
      </c>
      <c r="J686" s="1" t="s">
        <v>76</v>
      </c>
      <c r="K686" s="1" t="s">
        <v>50</v>
      </c>
      <c r="L686" s="1" t="s">
        <v>23</v>
      </c>
      <c r="M686">
        <v>50</v>
      </c>
      <c r="N686">
        <v>63159</v>
      </c>
      <c r="O686">
        <v>1</v>
      </c>
      <c r="P686">
        <v>4</v>
      </c>
      <c r="Q686">
        <v>37</v>
      </c>
      <c r="R686">
        <v>41</v>
      </c>
      <c r="S686">
        <v>3</v>
      </c>
      <c r="T686">
        <v>4</v>
      </c>
      <c r="U686">
        <v>4</v>
      </c>
      <c r="V686">
        <v>7</v>
      </c>
      <c r="W686">
        <v>1</v>
      </c>
    </row>
    <row r="687" spans="1:23" x14ac:dyDescent="0.25">
      <c r="A687" s="1" t="s">
        <v>23</v>
      </c>
      <c r="B687" s="1" t="s">
        <v>54</v>
      </c>
      <c r="C687" s="1" t="s">
        <v>34</v>
      </c>
      <c r="D687" s="1" t="s">
        <v>26</v>
      </c>
      <c r="E687" s="1" t="s">
        <v>51</v>
      </c>
      <c r="F687" s="1" t="s">
        <v>66</v>
      </c>
      <c r="G687" s="1" t="s">
        <v>745</v>
      </c>
      <c r="H687">
        <v>686</v>
      </c>
      <c r="I687" s="1" t="s">
        <v>36</v>
      </c>
      <c r="J687" s="1" t="s">
        <v>64</v>
      </c>
      <c r="K687" s="1" t="s">
        <v>38</v>
      </c>
      <c r="L687" s="1" t="s">
        <v>33</v>
      </c>
      <c r="M687">
        <v>31</v>
      </c>
      <c r="N687">
        <v>167240</v>
      </c>
      <c r="O687">
        <v>4</v>
      </c>
      <c r="P687">
        <v>1</v>
      </c>
      <c r="Q687">
        <v>23</v>
      </c>
      <c r="R687">
        <v>1</v>
      </c>
      <c r="S687">
        <v>5</v>
      </c>
      <c r="T687">
        <v>4</v>
      </c>
      <c r="U687">
        <v>3</v>
      </c>
      <c r="V687">
        <v>28</v>
      </c>
      <c r="W687">
        <v>2</v>
      </c>
    </row>
    <row r="688" spans="1:23" x14ac:dyDescent="0.25">
      <c r="A688" s="1" t="s">
        <v>23</v>
      </c>
      <c r="B688" s="1" t="s">
        <v>24</v>
      </c>
      <c r="C688" s="1" t="s">
        <v>39</v>
      </c>
      <c r="D688" s="1" t="s">
        <v>26</v>
      </c>
      <c r="E688" s="1" t="s">
        <v>55</v>
      </c>
      <c r="F688" s="1" t="s">
        <v>68</v>
      </c>
      <c r="G688" s="1" t="s">
        <v>746</v>
      </c>
      <c r="H688">
        <v>687</v>
      </c>
      <c r="I688" s="1" t="s">
        <v>30</v>
      </c>
      <c r="J688" s="1" t="s">
        <v>37</v>
      </c>
      <c r="K688" s="1" t="s">
        <v>50</v>
      </c>
      <c r="L688" s="1" t="s">
        <v>23</v>
      </c>
      <c r="M688">
        <v>25</v>
      </c>
      <c r="N688">
        <v>26097</v>
      </c>
      <c r="O688">
        <v>2</v>
      </c>
      <c r="P688">
        <v>4</v>
      </c>
      <c r="Q688">
        <v>29</v>
      </c>
      <c r="R688">
        <v>15</v>
      </c>
      <c r="S688">
        <v>5</v>
      </c>
      <c r="T688">
        <v>4</v>
      </c>
      <c r="U688">
        <v>3</v>
      </c>
      <c r="V688">
        <v>26</v>
      </c>
      <c r="W688">
        <v>2</v>
      </c>
    </row>
    <row r="689" spans="1:23" x14ac:dyDescent="0.25">
      <c r="A689" s="1" t="s">
        <v>33</v>
      </c>
      <c r="B689" s="1" t="s">
        <v>54</v>
      </c>
      <c r="C689" s="1" t="s">
        <v>39</v>
      </c>
      <c r="D689" s="1" t="s">
        <v>73</v>
      </c>
      <c r="E689" s="1" t="s">
        <v>60</v>
      </c>
      <c r="F689" s="1" t="s">
        <v>46</v>
      </c>
      <c r="G689" s="1" t="s">
        <v>747</v>
      </c>
      <c r="H689">
        <v>688</v>
      </c>
      <c r="I689" s="1" t="s">
        <v>30</v>
      </c>
      <c r="J689" s="1" t="s">
        <v>48</v>
      </c>
      <c r="K689" s="1" t="s">
        <v>38</v>
      </c>
      <c r="L689" s="1" t="s">
        <v>33</v>
      </c>
      <c r="M689">
        <v>21</v>
      </c>
      <c r="N689">
        <v>26473</v>
      </c>
      <c r="O689">
        <v>4</v>
      </c>
      <c r="P689">
        <v>4</v>
      </c>
      <c r="Q689">
        <v>24</v>
      </c>
      <c r="R689">
        <v>4</v>
      </c>
      <c r="S689">
        <v>6</v>
      </c>
      <c r="T689">
        <v>4</v>
      </c>
      <c r="U689">
        <v>4</v>
      </c>
      <c r="V689">
        <v>29</v>
      </c>
      <c r="W689">
        <v>5</v>
      </c>
    </row>
    <row r="690" spans="1:23" x14ac:dyDescent="0.25">
      <c r="A690" s="1" t="s">
        <v>23</v>
      </c>
      <c r="B690" s="1" t="s">
        <v>54</v>
      </c>
      <c r="C690" s="1" t="s">
        <v>65</v>
      </c>
      <c r="D690" s="1" t="s">
        <v>26</v>
      </c>
      <c r="E690" s="1" t="s">
        <v>46</v>
      </c>
      <c r="F690" s="1" t="s">
        <v>52</v>
      </c>
      <c r="G690" s="1" t="s">
        <v>748</v>
      </c>
      <c r="H690">
        <v>689</v>
      </c>
      <c r="I690" s="1" t="s">
        <v>30</v>
      </c>
      <c r="J690" s="1" t="s">
        <v>86</v>
      </c>
      <c r="K690" s="1" t="s">
        <v>38</v>
      </c>
      <c r="L690" s="1" t="s">
        <v>33</v>
      </c>
      <c r="M690">
        <v>39</v>
      </c>
      <c r="N690">
        <v>122437</v>
      </c>
      <c r="O690">
        <v>1</v>
      </c>
      <c r="P690">
        <v>3</v>
      </c>
      <c r="Q690">
        <v>25</v>
      </c>
      <c r="R690">
        <v>32</v>
      </c>
      <c r="S690">
        <v>5</v>
      </c>
      <c r="T690">
        <v>4</v>
      </c>
      <c r="U690">
        <v>4</v>
      </c>
      <c r="V690">
        <v>26</v>
      </c>
      <c r="W690">
        <v>1</v>
      </c>
    </row>
    <row r="691" spans="1:23" x14ac:dyDescent="0.25">
      <c r="A691" s="1" t="s">
        <v>23</v>
      </c>
      <c r="B691" s="1" t="s">
        <v>24</v>
      </c>
      <c r="C691" s="1" t="s">
        <v>65</v>
      </c>
      <c r="D691" s="1" t="s">
        <v>26</v>
      </c>
      <c r="E691" s="1" t="s">
        <v>51</v>
      </c>
      <c r="F691" s="1" t="s">
        <v>52</v>
      </c>
      <c r="G691" s="1" t="s">
        <v>749</v>
      </c>
      <c r="H691">
        <v>690</v>
      </c>
      <c r="I691" s="1" t="s">
        <v>30</v>
      </c>
      <c r="J691" s="1" t="s">
        <v>37</v>
      </c>
      <c r="K691" s="1" t="s">
        <v>38</v>
      </c>
      <c r="L691" s="1" t="s">
        <v>23</v>
      </c>
      <c r="M691">
        <v>30</v>
      </c>
      <c r="N691">
        <v>81718</v>
      </c>
      <c r="O691">
        <v>4</v>
      </c>
      <c r="P691">
        <v>2</v>
      </c>
      <c r="Q691">
        <v>16</v>
      </c>
      <c r="R691">
        <v>6</v>
      </c>
      <c r="S691">
        <v>2</v>
      </c>
      <c r="T691">
        <v>1</v>
      </c>
      <c r="U691">
        <v>4</v>
      </c>
      <c r="V691">
        <v>29</v>
      </c>
      <c r="W691">
        <v>4</v>
      </c>
    </row>
    <row r="692" spans="1:23" x14ac:dyDescent="0.25">
      <c r="A692" s="1" t="s">
        <v>23</v>
      </c>
      <c r="B692" s="1" t="s">
        <v>44</v>
      </c>
      <c r="C692" s="1" t="s">
        <v>65</v>
      </c>
      <c r="D692" s="1" t="s">
        <v>26</v>
      </c>
      <c r="E692" s="1" t="s">
        <v>27</v>
      </c>
      <c r="F692" s="1" t="s">
        <v>52</v>
      </c>
      <c r="G692" s="1" t="s">
        <v>750</v>
      </c>
      <c r="H692">
        <v>691</v>
      </c>
      <c r="I692" s="1" t="s">
        <v>36</v>
      </c>
      <c r="J692" s="1" t="s">
        <v>37</v>
      </c>
      <c r="K692" s="1" t="s">
        <v>38</v>
      </c>
      <c r="L692" s="1" t="s">
        <v>23</v>
      </c>
      <c r="M692">
        <v>57</v>
      </c>
      <c r="N692">
        <v>90167</v>
      </c>
      <c r="O692">
        <v>1</v>
      </c>
      <c r="P692">
        <v>2</v>
      </c>
      <c r="Q692">
        <v>9</v>
      </c>
      <c r="R692">
        <v>33</v>
      </c>
      <c r="S692">
        <v>2</v>
      </c>
      <c r="T692">
        <v>1</v>
      </c>
      <c r="U692">
        <v>3</v>
      </c>
      <c r="V692">
        <v>29</v>
      </c>
      <c r="W692">
        <v>3</v>
      </c>
    </row>
    <row r="693" spans="1:23" x14ac:dyDescent="0.25">
      <c r="A693" s="1" t="s">
        <v>23</v>
      </c>
      <c r="B693" s="1" t="s">
        <v>54</v>
      </c>
      <c r="C693" s="1" t="s">
        <v>39</v>
      </c>
      <c r="D693" s="1" t="s">
        <v>26</v>
      </c>
      <c r="E693" s="1" t="s">
        <v>27</v>
      </c>
      <c r="F693" s="1" t="s">
        <v>28</v>
      </c>
      <c r="G693" s="1" t="s">
        <v>751</v>
      </c>
      <c r="H693">
        <v>692</v>
      </c>
      <c r="I693" s="1" t="s">
        <v>36</v>
      </c>
      <c r="J693" s="1" t="s">
        <v>86</v>
      </c>
      <c r="K693" s="1" t="s">
        <v>32</v>
      </c>
      <c r="L693" s="1" t="s">
        <v>23</v>
      </c>
      <c r="M693">
        <v>39</v>
      </c>
      <c r="N693">
        <v>58485</v>
      </c>
      <c r="O693">
        <v>2</v>
      </c>
      <c r="P693">
        <v>2</v>
      </c>
      <c r="Q693">
        <v>38</v>
      </c>
      <c r="R693">
        <v>18</v>
      </c>
      <c r="S693">
        <v>6</v>
      </c>
      <c r="T693">
        <v>4</v>
      </c>
      <c r="U693">
        <v>4</v>
      </c>
      <c r="V693">
        <v>21</v>
      </c>
      <c r="W693">
        <v>2</v>
      </c>
    </row>
    <row r="694" spans="1:23" x14ac:dyDescent="0.25">
      <c r="A694" s="1" t="s">
        <v>23</v>
      </c>
      <c r="B694" s="1" t="s">
        <v>24</v>
      </c>
      <c r="C694" s="1" t="s">
        <v>34</v>
      </c>
      <c r="D694" s="1" t="s">
        <v>26</v>
      </c>
      <c r="E694" s="1" t="s">
        <v>27</v>
      </c>
      <c r="F694" s="1" t="s">
        <v>41</v>
      </c>
      <c r="G694" s="1" t="s">
        <v>752</v>
      </c>
      <c r="H694">
        <v>693</v>
      </c>
      <c r="I694" s="1" t="s">
        <v>30</v>
      </c>
      <c r="J694" s="1" t="s">
        <v>76</v>
      </c>
      <c r="K694" s="1" t="s">
        <v>38</v>
      </c>
      <c r="L694" s="1" t="s">
        <v>23</v>
      </c>
      <c r="M694">
        <v>51</v>
      </c>
      <c r="N694">
        <v>62671</v>
      </c>
      <c r="O694">
        <v>3</v>
      </c>
      <c r="P694">
        <v>2</v>
      </c>
      <c r="Q694">
        <v>37</v>
      </c>
      <c r="R694">
        <v>32</v>
      </c>
      <c r="S694">
        <v>2</v>
      </c>
      <c r="T694">
        <v>3</v>
      </c>
      <c r="U694">
        <v>4</v>
      </c>
      <c r="V694">
        <v>28</v>
      </c>
      <c r="W694">
        <v>4</v>
      </c>
    </row>
    <row r="695" spans="1:23" x14ac:dyDescent="0.25">
      <c r="A695" s="1" t="s">
        <v>23</v>
      </c>
      <c r="B695" s="1" t="s">
        <v>24</v>
      </c>
      <c r="C695" s="1" t="s">
        <v>65</v>
      </c>
      <c r="D695" s="1" t="s">
        <v>26</v>
      </c>
      <c r="E695" s="1" t="s">
        <v>40</v>
      </c>
      <c r="F695" s="1" t="s">
        <v>68</v>
      </c>
      <c r="G695" s="1" t="s">
        <v>753</v>
      </c>
      <c r="H695">
        <v>694</v>
      </c>
      <c r="I695" s="1" t="s">
        <v>36</v>
      </c>
      <c r="J695" s="1" t="s">
        <v>64</v>
      </c>
      <c r="K695" s="1" t="s">
        <v>32</v>
      </c>
      <c r="L695" s="1" t="s">
        <v>33</v>
      </c>
      <c r="M695">
        <v>42</v>
      </c>
      <c r="N695">
        <v>76936</v>
      </c>
      <c r="O695">
        <v>3</v>
      </c>
      <c r="P695">
        <v>2</v>
      </c>
      <c r="Q695">
        <v>14</v>
      </c>
      <c r="R695">
        <v>9</v>
      </c>
      <c r="S695">
        <v>2</v>
      </c>
      <c r="T695">
        <v>1</v>
      </c>
      <c r="U695">
        <v>3</v>
      </c>
      <c r="V695">
        <v>12</v>
      </c>
      <c r="W695">
        <v>4</v>
      </c>
    </row>
    <row r="696" spans="1:23" x14ac:dyDescent="0.25">
      <c r="A696" s="1" t="s">
        <v>23</v>
      </c>
      <c r="B696" s="1" t="s">
        <v>54</v>
      </c>
      <c r="C696" s="1" t="s">
        <v>65</v>
      </c>
      <c r="D696" s="1" t="s">
        <v>26</v>
      </c>
      <c r="E696" s="1" t="s">
        <v>60</v>
      </c>
      <c r="F696" s="1" t="s">
        <v>41</v>
      </c>
      <c r="G696" s="1" t="s">
        <v>754</v>
      </c>
      <c r="H696">
        <v>695</v>
      </c>
      <c r="I696" s="1" t="s">
        <v>30</v>
      </c>
      <c r="J696" s="1" t="s">
        <v>48</v>
      </c>
      <c r="K696" s="1" t="s">
        <v>38</v>
      </c>
      <c r="L696" s="1" t="s">
        <v>33</v>
      </c>
      <c r="M696">
        <v>46</v>
      </c>
      <c r="N696">
        <v>43910</v>
      </c>
      <c r="O696">
        <v>3</v>
      </c>
      <c r="P696">
        <v>1</v>
      </c>
      <c r="Q696">
        <v>17</v>
      </c>
      <c r="R696">
        <v>35</v>
      </c>
      <c r="S696">
        <v>4</v>
      </c>
      <c r="T696">
        <v>1</v>
      </c>
      <c r="U696">
        <v>3</v>
      </c>
      <c r="V696">
        <v>15</v>
      </c>
      <c r="W696">
        <v>5</v>
      </c>
    </row>
    <row r="697" spans="1:23" x14ac:dyDescent="0.25">
      <c r="A697" s="1" t="s">
        <v>23</v>
      </c>
      <c r="B697" s="1" t="s">
        <v>24</v>
      </c>
      <c r="C697" s="1" t="s">
        <v>34</v>
      </c>
      <c r="D697" s="1" t="s">
        <v>26</v>
      </c>
      <c r="E697" s="1" t="s">
        <v>46</v>
      </c>
      <c r="F697" s="1" t="s">
        <v>52</v>
      </c>
      <c r="G697" s="1" t="s">
        <v>755</v>
      </c>
      <c r="H697">
        <v>696</v>
      </c>
      <c r="I697" s="1" t="s">
        <v>30</v>
      </c>
      <c r="J697" s="1" t="s">
        <v>48</v>
      </c>
      <c r="K697" s="1" t="s">
        <v>32</v>
      </c>
      <c r="L697" s="1" t="s">
        <v>23</v>
      </c>
      <c r="M697">
        <v>32</v>
      </c>
      <c r="N697">
        <v>28546</v>
      </c>
      <c r="O697">
        <v>3</v>
      </c>
      <c r="P697">
        <v>3</v>
      </c>
      <c r="Q697">
        <v>5</v>
      </c>
      <c r="R697">
        <v>12</v>
      </c>
      <c r="S697">
        <v>5</v>
      </c>
      <c r="T697">
        <v>1</v>
      </c>
      <c r="U697">
        <v>3</v>
      </c>
      <c r="V697">
        <v>17</v>
      </c>
      <c r="W697">
        <v>3</v>
      </c>
    </row>
    <row r="698" spans="1:23" x14ac:dyDescent="0.25">
      <c r="A698" s="1" t="s">
        <v>23</v>
      </c>
      <c r="B698" s="1" t="s">
        <v>54</v>
      </c>
      <c r="C698" s="1" t="s">
        <v>34</v>
      </c>
      <c r="D698" s="1" t="s">
        <v>26</v>
      </c>
      <c r="E698" s="1" t="s">
        <v>51</v>
      </c>
      <c r="F698" s="1" t="s">
        <v>68</v>
      </c>
      <c r="G698" s="1" t="s">
        <v>756</v>
      </c>
      <c r="H698">
        <v>697</v>
      </c>
      <c r="I698" s="1" t="s">
        <v>36</v>
      </c>
      <c r="J698" s="1" t="s">
        <v>31</v>
      </c>
      <c r="K698" s="1" t="s">
        <v>32</v>
      </c>
      <c r="L698" s="1" t="s">
        <v>33</v>
      </c>
      <c r="M698">
        <v>41</v>
      </c>
      <c r="N698">
        <v>37150</v>
      </c>
      <c r="O698">
        <v>2</v>
      </c>
      <c r="P698">
        <v>4</v>
      </c>
      <c r="Q698">
        <v>7</v>
      </c>
      <c r="R698">
        <v>28</v>
      </c>
      <c r="S698">
        <v>0</v>
      </c>
      <c r="T698">
        <v>4</v>
      </c>
      <c r="U698">
        <v>3</v>
      </c>
      <c r="V698">
        <v>4</v>
      </c>
      <c r="W698">
        <v>5</v>
      </c>
    </row>
    <row r="699" spans="1:23" x14ac:dyDescent="0.25">
      <c r="A699" s="1" t="s">
        <v>23</v>
      </c>
      <c r="B699" s="1" t="s">
        <v>54</v>
      </c>
      <c r="C699" s="1" t="s">
        <v>39</v>
      </c>
      <c r="D699" s="1" t="s">
        <v>26</v>
      </c>
      <c r="E699" s="1" t="s">
        <v>27</v>
      </c>
      <c r="F699" s="1" t="s">
        <v>66</v>
      </c>
      <c r="G699" s="1" t="s">
        <v>757</v>
      </c>
      <c r="H699">
        <v>698</v>
      </c>
      <c r="I699" s="1" t="s">
        <v>36</v>
      </c>
      <c r="J699" s="1" t="s">
        <v>31</v>
      </c>
      <c r="K699" s="1" t="s">
        <v>32</v>
      </c>
      <c r="L699" s="1" t="s">
        <v>23</v>
      </c>
      <c r="M699">
        <v>33</v>
      </c>
      <c r="N699">
        <v>172386</v>
      </c>
      <c r="O699">
        <v>4</v>
      </c>
      <c r="P699">
        <v>1</v>
      </c>
      <c r="Q699">
        <v>16</v>
      </c>
      <c r="R699">
        <v>26</v>
      </c>
      <c r="S699">
        <v>4</v>
      </c>
      <c r="T699">
        <v>3</v>
      </c>
      <c r="U699">
        <v>4</v>
      </c>
      <c r="V699">
        <v>21</v>
      </c>
      <c r="W699">
        <v>2</v>
      </c>
    </row>
    <row r="700" spans="1:23" x14ac:dyDescent="0.25">
      <c r="A700" s="1" t="s">
        <v>23</v>
      </c>
      <c r="B700" s="1" t="s">
        <v>54</v>
      </c>
      <c r="C700" s="1" t="s">
        <v>39</v>
      </c>
      <c r="D700" s="1" t="s">
        <v>26</v>
      </c>
      <c r="E700" s="1" t="s">
        <v>27</v>
      </c>
      <c r="F700" s="1" t="s">
        <v>46</v>
      </c>
      <c r="G700" s="1" t="s">
        <v>758</v>
      </c>
      <c r="H700">
        <v>699</v>
      </c>
      <c r="I700" s="1" t="s">
        <v>36</v>
      </c>
      <c r="J700" s="1" t="s">
        <v>59</v>
      </c>
      <c r="K700" s="1" t="s">
        <v>50</v>
      </c>
      <c r="L700" s="1" t="s">
        <v>23</v>
      </c>
      <c r="M700">
        <v>38</v>
      </c>
      <c r="N700">
        <v>165132</v>
      </c>
      <c r="O700">
        <v>3</v>
      </c>
      <c r="P700">
        <v>4</v>
      </c>
      <c r="Q700">
        <v>7</v>
      </c>
      <c r="R700">
        <v>11</v>
      </c>
      <c r="S700">
        <v>3</v>
      </c>
      <c r="T700">
        <v>1</v>
      </c>
      <c r="U700">
        <v>4</v>
      </c>
      <c r="V700">
        <v>29</v>
      </c>
      <c r="W700">
        <v>5</v>
      </c>
    </row>
    <row r="701" spans="1:23" x14ac:dyDescent="0.25">
      <c r="A701" s="1" t="s">
        <v>23</v>
      </c>
      <c r="B701" s="1" t="s">
        <v>44</v>
      </c>
      <c r="C701" s="1" t="s">
        <v>34</v>
      </c>
      <c r="D701" s="1" t="s">
        <v>26</v>
      </c>
      <c r="E701" s="1" t="s">
        <v>60</v>
      </c>
      <c r="F701" s="1" t="s">
        <v>52</v>
      </c>
      <c r="G701" s="1" t="s">
        <v>759</v>
      </c>
      <c r="H701">
        <v>700</v>
      </c>
      <c r="I701" s="1" t="s">
        <v>36</v>
      </c>
      <c r="J701" s="1" t="s">
        <v>31</v>
      </c>
      <c r="K701" s="1" t="s">
        <v>38</v>
      </c>
      <c r="L701" s="1" t="s">
        <v>23</v>
      </c>
      <c r="M701">
        <v>55</v>
      </c>
      <c r="N701">
        <v>65882</v>
      </c>
      <c r="O701">
        <v>2</v>
      </c>
      <c r="P701">
        <v>1</v>
      </c>
      <c r="Q701">
        <v>14</v>
      </c>
      <c r="R701">
        <v>13</v>
      </c>
      <c r="S701">
        <v>2</v>
      </c>
      <c r="T701">
        <v>3</v>
      </c>
      <c r="U701">
        <v>4</v>
      </c>
      <c r="V701">
        <v>25</v>
      </c>
      <c r="W701">
        <v>5</v>
      </c>
    </row>
    <row r="702" spans="1:23" x14ac:dyDescent="0.25">
      <c r="A702" s="1" t="s">
        <v>23</v>
      </c>
      <c r="B702" s="1" t="s">
        <v>24</v>
      </c>
      <c r="C702" s="1" t="s">
        <v>39</v>
      </c>
      <c r="D702" s="1" t="s">
        <v>26</v>
      </c>
      <c r="E702" s="1" t="s">
        <v>51</v>
      </c>
      <c r="F702" s="1" t="s">
        <v>41</v>
      </c>
      <c r="G702" s="1" t="s">
        <v>760</v>
      </c>
      <c r="H702">
        <v>701</v>
      </c>
      <c r="I702" s="1" t="s">
        <v>30</v>
      </c>
      <c r="J702" s="1" t="s">
        <v>37</v>
      </c>
      <c r="K702" s="1" t="s">
        <v>50</v>
      </c>
      <c r="L702" s="1" t="s">
        <v>33</v>
      </c>
      <c r="M702">
        <v>46</v>
      </c>
      <c r="N702">
        <v>63030</v>
      </c>
      <c r="O702">
        <v>2</v>
      </c>
      <c r="P702">
        <v>2</v>
      </c>
      <c r="Q702">
        <v>20</v>
      </c>
      <c r="R702">
        <v>33</v>
      </c>
      <c r="S702">
        <v>3</v>
      </c>
      <c r="T702">
        <v>4</v>
      </c>
      <c r="U702">
        <v>4</v>
      </c>
      <c r="V702">
        <v>8</v>
      </c>
      <c r="W702">
        <v>3</v>
      </c>
    </row>
    <row r="703" spans="1:23" x14ac:dyDescent="0.25">
      <c r="A703" s="1" t="s">
        <v>23</v>
      </c>
      <c r="B703" s="1" t="s">
        <v>44</v>
      </c>
      <c r="C703" s="1" t="s">
        <v>65</v>
      </c>
      <c r="D703" s="1" t="s">
        <v>26</v>
      </c>
      <c r="E703" s="1" t="s">
        <v>27</v>
      </c>
      <c r="F703" s="1" t="s">
        <v>28</v>
      </c>
      <c r="G703" s="1" t="s">
        <v>761</v>
      </c>
      <c r="H703">
        <v>702</v>
      </c>
      <c r="I703" s="1" t="s">
        <v>36</v>
      </c>
      <c r="J703" s="1" t="s">
        <v>37</v>
      </c>
      <c r="K703" s="1" t="s">
        <v>32</v>
      </c>
      <c r="L703" s="1" t="s">
        <v>23</v>
      </c>
      <c r="M703">
        <v>41</v>
      </c>
      <c r="N703">
        <v>135888</v>
      </c>
      <c r="O703">
        <v>3</v>
      </c>
      <c r="P703">
        <v>4</v>
      </c>
      <c r="Q703">
        <v>36</v>
      </c>
      <c r="R703">
        <v>25</v>
      </c>
      <c r="S703">
        <v>6</v>
      </c>
      <c r="T703">
        <v>4</v>
      </c>
      <c r="U703">
        <v>3</v>
      </c>
      <c r="V703">
        <v>25</v>
      </c>
      <c r="W703">
        <v>4</v>
      </c>
    </row>
    <row r="704" spans="1:23" x14ac:dyDescent="0.25">
      <c r="A704" s="1" t="s">
        <v>23</v>
      </c>
      <c r="B704" s="1" t="s">
        <v>24</v>
      </c>
      <c r="C704" s="1" t="s">
        <v>34</v>
      </c>
      <c r="D704" s="1" t="s">
        <v>26</v>
      </c>
      <c r="E704" s="1" t="s">
        <v>46</v>
      </c>
      <c r="F704" s="1" t="s">
        <v>68</v>
      </c>
      <c r="G704" s="1" t="s">
        <v>762</v>
      </c>
      <c r="H704">
        <v>703</v>
      </c>
      <c r="I704" s="1" t="s">
        <v>36</v>
      </c>
      <c r="J704" s="1" t="s">
        <v>64</v>
      </c>
      <c r="K704" s="1" t="s">
        <v>32</v>
      </c>
      <c r="L704" s="1" t="s">
        <v>33</v>
      </c>
      <c r="M704">
        <v>34</v>
      </c>
      <c r="N704">
        <v>85090</v>
      </c>
      <c r="O704">
        <v>3</v>
      </c>
      <c r="P704">
        <v>3</v>
      </c>
      <c r="Q704">
        <v>1</v>
      </c>
      <c r="R704">
        <v>20</v>
      </c>
      <c r="S704">
        <v>3</v>
      </c>
      <c r="T704">
        <v>4</v>
      </c>
      <c r="U704">
        <v>4</v>
      </c>
      <c r="V704">
        <v>18</v>
      </c>
      <c r="W704">
        <v>5</v>
      </c>
    </row>
    <row r="705" spans="1:23" x14ac:dyDescent="0.25">
      <c r="A705" s="1" t="s">
        <v>23</v>
      </c>
      <c r="B705" s="1" t="s">
        <v>54</v>
      </c>
      <c r="C705" s="1" t="s">
        <v>65</v>
      </c>
      <c r="D705" s="1" t="s">
        <v>26</v>
      </c>
      <c r="E705" s="1" t="s">
        <v>51</v>
      </c>
      <c r="F705" s="1" t="s">
        <v>68</v>
      </c>
      <c r="G705" s="1" t="s">
        <v>763</v>
      </c>
      <c r="H705">
        <v>704</v>
      </c>
      <c r="I705" s="1" t="s">
        <v>36</v>
      </c>
      <c r="J705" s="1" t="s">
        <v>31</v>
      </c>
      <c r="K705" s="1" t="s">
        <v>50</v>
      </c>
      <c r="L705" s="1" t="s">
        <v>33</v>
      </c>
      <c r="M705">
        <v>31</v>
      </c>
      <c r="N705">
        <v>103323</v>
      </c>
      <c r="O705">
        <v>4</v>
      </c>
      <c r="P705">
        <v>4</v>
      </c>
      <c r="Q705">
        <v>2</v>
      </c>
      <c r="R705">
        <v>42</v>
      </c>
      <c r="S705">
        <v>3</v>
      </c>
      <c r="T705">
        <v>4</v>
      </c>
      <c r="U705">
        <v>3</v>
      </c>
      <c r="V705">
        <v>9</v>
      </c>
      <c r="W705">
        <v>5</v>
      </c>
    </row>
    <row r="706" spans="1:23" x14ac:dyDescent="0.25">
      <c r="A706" s="1" t="s">
        <v>23</v>
      </c>
      <c r="B706" s="1" t="s">
        <v>54</v>
      </c>
      <c r="C706" s="1" t="s">
        <v>25</v>
      </c>
      <c r="D706" s="1" t="s">
        <v>26</v>
      </c>
      <c r="E706" s="1" t="s">
        <v>60</v>
      </c>
      <c r="F706" s="1" t="s">
        <v>46</v>
      </c>
      <c r="G706" s="1" t="s">
        <v>764</v>
      </c>
      <c r="H706">
        <v>705</v>
      </c>
      <c r="I706" s="1" t="s">
        <v>36</v>
      </c>
      <c r="J706" s="1" t="s">
        <v>59</v>
      </c>
      <c r="K706" s="1" t="s">
        <v>38</v>
      </c>
      <c r="L706" s="1" t="s">
        <v>23</v>
      </c>
      <c r="M706">
        <v>39</v>
      </c>
      <c r="N706">
        <v>47106</v>
      </c>
      <c r="O706">
        <v>4</v>
      </c>
      <c r="P706">
        <v>2</v>
      </c>
      <c r="Q706">
        <v>4</v>
      </c>
      <c r="R706">
        <v>20</v>
      </c>
      <c r="S706">
        <v>6</v>
      </c>
      <c r="T706">
        <v>4</v>
      </c>
      <c r="U706">
        <v>3</v>
      </c>
      <c r="V706">
        <v>28</v>
      </c>
      <c r="W706">
        <v>2</v>
      </c>
    </row>
    <row r="707" spans="1:23" x14ac:dyDescent="0.25">
      <c r="A707" s="1" t="s">
        <v>23</v>
      </c>
      <c r="B707" s="1" t="s">
        <v>24</v>
      </c>
      <c r="C707" s="1" t="s">
        <v>39</v>
      </c>
      <c r="D707" s="1" t="s">
        <v>26</v>
      </c>
      <c r="E707" s="1" t="s">
        <v>51</v>
      </c>
      <c r="F707" s="1" t="s">
        <v>68</v>
      </c>
      <c r="G707" s="1" t="s">
        <v>765</v>
      </c>
      <c r="H707">
        <v>706</v>
      </c>
      <c r="I707" s="1" t="s">
        <v>30</v>
      </c>
      <c r="J707" s="1" t="s">
        <v>37</v>
      </c>
      <c r="K707" s="1" t="s">
        <v>32</v>
      </c>
      <c r="L707" s="1" t="s">
        <v>23</v>
      </c>
      <c r="M707">
        <v>56</v>
      </c>
      <c r="N707">
        <v>157205</v>
      </c>
      <c r="O707">
        <v>3</v>
      </c>
      <c r="P707">
        <v>1</v>
      </c>
      <c r="Q707">
        <v>8</v>
      </c>
      <c r="R707">
        <v>4</v>
      </c>
      <c r="S707">
        <v>6</v>
      </c>
      <c r="T707">
        <v>3</v>
      </c>
      <c r="U707">
        <v>4</v>
      </c>
      <c r="V707">
        <v>29</v>
      </c>
      <c r="W707">
        <v>4</v>
      </c>
    </row>
    <row r="708" spans="1:23" x14ac:dyDescent="0.25">
      <c r="A708" s="1" t="s">
        <v>23</v>
      </c>
      <c r="B708" s="1" t="s">
        <v>44</v>
      </c>
      <c r="C708" s="1" t="s">
        <v>34</v>
      </c>
      <c r="D708" s="1" t="s">
        <v>26</v>
      </c>
      <c r="E708" s="1" t="s">
        <v>27</v>
      </c>
      <c r="F708" s="1" t="s">
        <v>28</v>
      </c>
      <c r="G708" s="1" t="s">
        <v>766</v>
      </c>
      <c r="H708">
        <v>707</v>
      </c>
      <c r="I708" s="1" t="s">
        <v>36</v>
      </c>
      <c r="J708" s="1" t="s">
        <v>37</v>
      </c>
      <c r="K708" s="1" t="s">
        <v>38</v>
      </c>
      <c r="L708" s="1" t="s">
        <v>33</v>
      </c>
      <c r="M708">
        <v>37</v>
      </c>
      <c r="N708">
        <v>84940</v>
      </c>
      <c r="O708">
        <v>1</v>
      </c>
      <c r="P708">
        <v>2</v>
      </c>
      <c r="Q708">
        <v>7</v>
      </c>
      <c r="R708">
        <v>41</v>
      </c>
      <c r="S708">
        <v>3</v>
      </c>
      <c r="T708">
        <v>4</v>
      </c>
      <c r="U708">
        <v>4</v>
      </c>
      <c r="V708">
        <v>26</v>
      </c>
      <c r="W708">
        <v>4</v>
      </c>
    </row>
    <row r="709" spans="1:23" x14ac:dyDescent="0.25">
      <c r="A709" s="1" t="s">
        <v>23</v>
      </c>
      <c r="B709" s="1" t="s">
        <v>54</v>
      </c>
      <c r="C709" s="1" t="s">
        <v>65</v>
      </c>
      <c r="D709" s="1" t="s">
        <v>26</v>
      </c>
      <c r="E709" s="1" t="s">
        <v>60</v>
      </c>
      <c r="F709" s="1" t="s">
        <v>46</v>
      </c>
      <c r="G709" s="1" t="s">
        <v>767</v>
      </c>
      <c r="H709">
        <v>708</v>
      </c>
      <c r="I709" s="1" t="s">
        <v>30</v>
      </c>
      <c r="J709" s="1" t="s">
        <v>43</v>
      </c>
      <c r="K709" s="1" t="s">
        <v>38</v>
      </c>
      <c r="L709" s="1" t="s">
        <v>33</v>
      </c>
      <c r="M709">
        <v>53</v>
      </c>
      <c r="N709">
        <v>103739</v>
      </c>
      <c r="O709">
        <v>4</v>
      </c>
      <c r="P709">
        <v>3</v>
      </c>
      <c r="Q709">
        <v>36</v>
      </c>
      <c r="R709">
        <v>21</v>
      </c>
      <c r="S709">
        <v>5</v>
      </c>
      <c r="T709">
        <v>1</v>
      </c>
      <c r="U709">
        <v>3</v>
      </c>
      <c r="V709">
        <v>19</v>
      </c>
      <c r="W709">
        <v>1</v>
      </c>
    </row>
    <row r="710" spans="1:23" x14ac:dyDescent="0.25">
      <c r="A710" s="1" t="s">
        <v>33</v>
      </c>
      <c r="B710" s="1" t="s">
        <v>24</v>
      </c>
      <c r="C710" s="1" t="s">
        <v>65</v>
      </c>
      <c r="D710" s="1" t="s">
        <v>73</v>
      </c>
      <c r="E710" s="1" t="s">
        <v>51</v>
      </c>
      <c r="F710" s="1" t="s">
        <v>41</v>
      </c>
      <c r="G710" s="1" t="s">
        <v>768</v>
      </c>
      <c r="H710">
        <v>709</v>
      </c>
      <c r="I710" s="1" t="s">
        <v>30</v>
      </c>
      <c r="J710" s="1" t="s">
        <v>43</v>
      </c>
      <c r="K710" s="1" t="s">
        <v>38</v>
      </c>
      <c r="L710" s="1" t="s">
        <v>33</v>
      </c>
      <c r="M710">
        <v>25</v>
      </c>
      <c r="N710">
        <v>130970</v>
      </c>
      <c r="O710">
        <v>3</v>
      </c>
      <c r="P710">
        <v>4</v>
      </c>
      <c r="Q710">
        <v>28</v>
      </c>
      <c r="R710">
        <v>9</v>
      </c>
      <c r="S710">
        <v>5</v>
      </c>
      <c r="T710">
        <v>3</v>
      </c>
      <c r="U710">
        <v>3</v>
      </c>
      <c r="V710">
        <v>6</v>
      </c>
      <c r="W710">
        <v>5</v>
      </c>
    </row>
    <row r="711" spans="1:23" x14ac:dyDescent="0.25">
      <c r="A711" s="1" t="s">
        <v>23</v>
      </c>
      <c r="B711" s="1" t="s">
        <v>54</v>
      </c>
      <c r="C711" s="1" t="s">
        <v>39</v>
      </c>
      <c r="D711" s="1" t="s">
        <v>26</v>
      </c>
      <c r="E711" s="1" t="s">
        <v>46</v>
      </c>
      <c r="F711" s="1" t="s">
        <v>68</v>
      </c>
      <c r="G711" s="1" t="s">
        <v>769</v>
      </c>
      <c r="H711">
        <v>710</v>
      </c>
      <c r="I711" s="1" t="s">
        <v>30</v>
      </c>
      <c r="J711" s="1" t="s">
        <v>41</v>
      </c>
      <c r="K711" s="1" t="s">
        <v>32</v>
      </c>
      <c r="L711" s="1" t="s">
        <v>23</v>
      </c>
      <c r="M711">
        <v>21</v>
      </c>
      <c r="N711">
        <v>120222</v>
      </c>
      <c r="O711">
        <v>1</v>
      </c>
      <c r="P711">
        <v>1</v>
      </c>
      <c r="Q711">
        <v>14</v>
      </c>
      <c r="R711">
        <v>20</v>
      </c>
      <c r="S711">
        <v>3</v>
      </c>
      <c r="T711">
        <v>2</v>
      </c>
      <c r="U711">
        <v>4</v>
      </c>
      <c r="V711">
        <v>28</v>
      </c>
      <c r="W711">
        <v>2</v>
      </c>
    </row>
    <row r="712" spans="1:23" x14ac:dyDescent="0.25">
      <c r="A712" s="1" t="s">
        <v>23</v>
      </c>
      <c r="B712" s="1" t="s">
        <v>44</v>
      </c>
      <c r="C712" s="1" t="s">
        <v>65</v>
      </c>
      <c r="D712" s="1" t="s">
        <v>26</v>
      </c>
      <c r="E712" s="1" t="s">
        <v>51</v>
      </c>
      <c r="F712" s="1" t="s">
        <v>52</v>
      </c>
      <c r="G712" s="1" t="s">
        <v>770</v>
      </c>
      <c r="H712">
        <v>711</v>
      </c>
      <c r="I712" s="1" t="s">
        <v>30</v>
      </c>
      <c r="J712" s="1" t="s">
        <v>43</v>
      </c>
      <c r="K712" s="1" t="s">
        <v>38</v>
      </c>
      <c r="L712" s="1" t="s">
        <v>33</v>
      </c>
      <c r="M712">
        <v>33</v>
      </c>
      <c r="N712">
        <v>56871</v>
      </c>
      <c r="O712">
        <v>2</v>
      </c>
      <c r="P712">
        <v>3</v>
      </c>
      <c r="Q712">
        <v>11</v>
      </c>
      <c r="R712">
        <v>6</v>
      </c>
      <c r="S712">
        <v>0</v>
      </c>
      <c r="T712">
        <v>1</v>
      </c>
      <c r="U712">
        <v>3</v>
      </c>
      <c r="V712">
        <v>18</v>
      </c>
      <c r="W712">
        <v>3</v>
      </c>
    </row>
    <row r="713" spans="1:23" x14ac:dyDescent="0.25">
      <c r="A713" s="1" t="s">
        <v>33</v>
      </c>
      <c r="B713" s="1" t="s">
        <v>24</v>
      </c>
      <c r="C713" s="1" t="s">
        <v>34</v>
      </c>
      <c r="D713" s="1" t="s">
        <v>73</v>
      </c>
      <c r="E713" s="1" t="s">
        <v>27</v>
      </c>
      <c r="F713" s="1" t="s">
        <v>52</v>
      </c>
      <c r="G713" s="1" t="s">
        <v>771</v>
      </c>
      <c r="H713">
        <v>712</v>
      </c>
      <c r="I713" s="1" t="s">
        <v>30</v>
      </c>
      <c r="J713" s="1" t="s">
        <v>48</v>
      </c>
      <c r="K713" s="1" t="s">
        <v>38</v>
      </c>
      <c r="L713" s="1" t="s">
        <v>33</v>
      </c>
      <c r="M713">
        <v>48</v>
      </c>
      <c r="N713">
        <v>89061</v>
      </c>
      <c r="O713">
        <v>2</v>
      </c>
      <c r="P713">
        <v>2</v>
      </c>
      <c r="Q713">
        <v>22</v>
      </c>
      <c r="R713">
        <v>1</v>
      </c>
      <c r="S713">
        <v>1</v>
      </c>
      <c r="T713">
        <v>4</v>
      </c>
      <c r="U713">
        <v>3</v>
      </c>
      <c r="V713">
        <v>27</v>
      </c>
      <c r="W713">
        <v>4</v>
      </c>
    </row>
    <row r="714" spans="1:23" x14ac:dyDescent="0.25">
      <c r="A714" s="1" t="s">
        <v>23</v>
      </c>
      <c r="B714" s="1" t="s">
        <v>24</v>
      </c>
      <c r="C714" s="1" t="s">
        <v>65</v>
      </c>
      <c r="D714" s="1" t="s">
        <v>26</v>
      </c>
      <c r="E714" s="1" t="s">
        <v>46</v>
      </c>
      <c r="F714" s="1" t="s">
        <v>68</v>
      </c>
      <c r="G714" s="1" t="s">
        <v>772</v>
      </c>
      <c r="H714">
        <v>713</v>
      </c>
      <c r="I714" s="1" t="s">
        <v>30</v>
      </c>
      <c r="J714" s="1" t="s">
        <v>86</v>
      </c>
      <c r="K714" s="1" t="s">
        <v>38</v>
      </c>
      <c r="L714" s="1" t="s">
        <v>23</v>
      </c>
      <c r="M714">
        <v>33</v>
      </c>
      <c r="N714">
        <v>71905</v>
      </c>
      <c r="O714">
        <v>4</v>
      </c>
      <c r="P714">
        <v>1</v>
      </c>
      <c r="Q714">
        <v>5</v>
      </c>
      <c r="R714">
        <v>11</v>
      </c>
      <c r="S714">
        <v>4</v>
      </c>
      <c r="T714">
        <v>1</v>
      </c>
      <c r="U714">
        <v>3</v>
      </c>
      <c r="V714">
        <v>25</v>
      </c>
      <c r="W714">
        <v>2</v>
      </c>
    </row>
    <row r="715" spans="1:23" x14ac:dyDescent="0.25">
      <c r="A715" s="1" t="s">
        <v>23</v>
      </c>
      <c r="B715" s="1" t="s">
        <v>44</v>
      </c>
      <c r="C715" s="1" t="s">
        <v>39</v>
      </c>
      <c r="D715" s="1" t="s">
        <v>26</v>
      </c>
      <c r="E715" s="1" t="s">
        <v>51</v>
      </c>
      <c r="F715" s="1" t="s">
        <v>52</v>
      </c>
      <c r="G715" s="1" t="s">
        <v>773</v>
      </c>
      <c r="H715">
        <v>714</v>
      </c>
      <c r="I715" s="1" t="s">
        <v>36</v>
      </c>
      <c r="J715" s="1" t="s">
        <v>41</v>
      </c>
      <c r="K715" s="1" t="s">
        <v>50</v>
      </c>
      <c r="L715" s="1" t="s">
        <v>33</v>
      </c>
      <c r="M715">
        <v>26</v>
      </c>
      <c r="N715">
        <v>150883</v>
      </c>
      <c r="O715">
        <v>3</v>
      </c>
      <c r="P715">
        <v>4</v>
      </c>
      <c r="Q715">
        <v>16</v>
      </c>
      <c r="R715">
        <v>32</v>
      </c>
      <c r="S715">
        <v>0</v>
      </c>
      <c r="T715">
        <v>4</v>
      </c>
      <c r="U715">
        <v>3</v>
      </c>
      <c r="V715">
        <v>1</v>
      </c>
      <c r="W715">
        <v>4</v>
      </c>
    </row>
    <row r="716" spans="1:23" x14ac:dyDescent="0.25">
      <c r="A716" s="1" t="s">
        <v>23</v>
      </c>
      <c r="B716" s="1" t="s">
        <v>44</v>
      </c>
      <c r="C716" s="1" t="s">
        <v>34</v>
      </c>
      <c r="D716" s="1" t="s">
        <v>26</v>
      </c>
      <c r="E716" s="1" t="s">
        <v>60</v>
      </c>
      <c r="F716" s="1" t="s">
        <v>46</v>
      </c>
      <c r="G716" s="1" t="s">
        <v>774</v>
      </c>
      <c r="H716">
        <v>715</v>
      </c>
      <c r="I716" s="1" t="s">
        <v>36</v>
      </c>
      <c r="J716" s="1" t="s">
        <v>31</v>
      </c>
      <c r="K716" s="1" t="s">
        <v>38</v>
      </c>
      <c r="L716" s="1" t="s">
        <v>23</v>
      </c>
      <c r="M716">
        <v>35</v>
      </c>
      <c r="N716">
        <v>40138</v>
      </c>
      <c r="O716">
        <v>4</v>
      </c>
      <c r="P716">
        <v>4</v>
      </c>
      <c r="Q716">
        <v>1</v>
      </c>
      <c r="R716">
        <v>17</v>
      </c>
      <c r="S716">
        <v>5</v>
      </c>
      <c r="T716">
        <v>3</v>
      </c>
      <c r="U716">
        <v>3</v>
      </c>
      <c r="V716">
        <v>5</v>
      </c>
      <c r="W716">
        <v>2</v>
      </c>
    </row>
    <row r="717" spans="1:23" x14ac:dyDescent="0.25">
      <c r="A717" s="1" t="s">
        <v>23</v>
      </c>
      <c r="B717" s="1" t="s">
        <v>24</v>
      </c>
      <c r="C717" s="1" t="s">
        <v>25</v>
      </c>
      <c r="D717" s="1" t="s">
        <v>26</v>
      </c>
      <c r="E717" s="1" t="s">
        <v>51</v>
      </c>
      <c r="F717" s="1" t="s">
        <v>28</v>
      </c>
      <c r="G717" s="1" t="s">
        <v>775</v>
      </c>
      <c r="H717">
        <v>716</v>
      </c>
      <c r="I717" s="1" t="s">
        <v>36</v>
      </c>
      <c r="J717" s="1" t="s">
        <v>64</v>
      </c>
      <c r="K717" s="1" t="s">
        <v>50</v>
      </c>
      <c r="L717" s="1" t="s">
        <v>33</v>
      </c>
      <c r="M717">
        <v>39</v>
      </c>
      <c r="N717">
        <v>115439</v>
      </c>
      <c r="O717">
        <v>4</v>
      </c>
      <c r="P717">
        <v>2</v>
      </c>
      <c r="Q717">
        <v>26</v>
      </c>
      <c r="R717">
        <v>11</v>
      </c>
      <c r="S717">
        <v>1</v>
      </c>
      <c r="T717">
        <v>2</v>
      </c>
      <c r="U717">
        <v>3</v>
      </c>
      <c r="V717">
        <v>12</v>
      </c>
      <c r="W717">
        <v>1</v>
      </c>
    </row>
    <row r="718" spans="1:23" x14ac:dyDescent="0.25">
      <c r="A718" s="1" t="s">
        <v>23</v>
      </c>
      <c r="B718" s="1" t="s">
        <v>44</v>
      </c>
      <c r="C718" s="1" t="s">
        <v>25</v>
      </c>
      <c r="D718" s="1" t="s">
        <v>26</v>
      </c>
      <c r="E718" s="1" t="s">
        <v>55</v>
      </c>
      <c r="F718" s="1" t="s">
        <v>68</v>
      </c>
      <c r="G718" s="1" t="s">
        <v>776</v>
      </c>
      <c r="H718">
        <v>717</v>
      </c>
      <c r="I718" s="1" t="s">
        <v>36</v>
      </c>
      <c r="J718" s="1" t="s">
        <v>76</v>
      </c>
      <c r="K718" s="1" t="s">
        <v>32</v>
      </c>
      <c r="L718" s="1" t="s">
        <v>23</v>
      </c>
      <c r="M718">
        <v>22</v>
      </c>
      <c r="N718">
        <v>24771</v>
      </c>
      <c r="O718">
        <v>3</v>
      </c>
      <c r="P718">
        <v>1</v>
      </c>
      <c r="Q718">
        <v>30</v>
      </c>
      <c r="R718">
        <v>2</v>
      </c>
      <c r="S718">
        <v>5</v>
      </c>
      <c r="T718">
        <v>2</v>
      </c>
      <c r="U718">
        <v>4</v>
      </c>
      <c r="V718">
        <v>2</v>
      </c>
      <c r="W718">
        <v>5</v>
      </c>
    </row>
    <row r="719" spans="1:23" x14ac:dyDescent="0.25">
      <c r="A719" s="1" t="s">
        <v>23</v>
      </c>
      <c r="B719" s="1" t="s">
        <v>24</v>
      </c>
      <c r="C719" s="1" t="s">
        <v>39</v>
      </c>
      <c r="D719" s="1" t="s">
        <v>26</v>
      </c>
      <c r="E719" s="1" t="s">
        <v>51</v>
      </c>
      <c r="F719" s="1" t="s">
        <v>28</v>
      </c>
      <c r="G719" s="1" t="s">
        <v>777</v>
      </c>
      <c r="H719">
        <v>718</v>
      </c>
      <c r="I719" s="1" t="s">
        <v>30</v>
      </c>
      <c r="J719" s="1" t="s">
        <v>64</v>
      </c>
      <c r="K719" s="1" t="s">
        <v>38</v>
      </c>
      <c r="L719" s="1" t="s">
        <v>33</v>
      </c>
      <c r="M719">
        <v>26</v>
      </c>
      <c r="N719">
        <v>128069</v>
      </c>
      <c r="O719">
        <v>1</v>
      </c>
      <c r="P719">
        <v>1</v>
      </c>
      <c r="Q719">
        <v>30</v>
      </c>
      <c r="R719">
        <v>29</v>
      </c>
      <c r="S719">
        <v>3</v>
      </c>
      <c r="T719">
        <v>4</v>
      </c>
      <c r="U719">
        <v>3</v>
      </c>
      <c r="V719">
        <v>28</v>
      </c>
      <c r="W719">
        <v>5</v>
      </c>
    </row>
    <row r="720" spans="1:23" x14ac:dyDescent="0.25">
      <c r="A720" s="1" t="s">
        <v>23</v>
      </c>
      <c r="B720" s="1" t="s">
        <v>44</v>
      </c>
      <c r="C720" s="1" t="s">
        <v>25</v>
      </c>
      <c r="D720" s="1" t="s">
        <v>26</v>
      </c>
      <c r="E720" s="1" t="s">
        <v>40</v>
      </c>
      <c r="F720" s="1" t="s">
        <v>46</v>
      </c>
      <c r="G720" s="1" t="s">
        <v>778</v>
      </c>
      <c r="H720">
        <v>719</v>
      </c>
      <c r="I720" s="1" t="s">
        <v>30</v>
      </c>
      <c r="J720" s="1" t="s">
        <v>37</v>
      </c>
      <c r="K720" s="1" t="s">
        <v>32</v>
      </c>
      <c r="L720" s="1" t="s">
        <v>23</v>
      </c>
      <c r="M720">
        <v>60</v>
      </c>
      <c r="N720">
        <v>43270</v>
      </c>
      <c r="O720">
        <v>4</v>
      </c>
      <c r="P720">
        <v>4</v>
      </c>
      <c r="Q720">
        <v>36</v>
      </c>
      <c r="R720">
        <v>12</v>
      </c>
      <c r="S720">
        <v>1</v>
      </c>
      <c r="T720">
        <v>2</v>
      </c>
      <c r="U720">
        <v>3</v>
      </c>
      <c r="V720">
        <v>26</v>
      </c>
      <c r="W720">
        <v>2</v>
      </c>
    </row>
    <row r="721" spans="1:23" x14ac:dyDescent="0.25">
      <c r="A721" s="1" t="s">
        <v>23</v>
      </c>
      <c r="B721" s="1" t="s">
        <v>54</v>
      </c>
      <c r="C721" s="1" t="s">
        <v>25</v>
      </c>
      <c r="D721" s="1" t="s">
        <v>26</v>
      </c>
      <c r="E721" s="1" t="s">
        <v>60</v>
      </c>
      <c r="F721" s="1" t="s">
        <v>68</v>
      </c>
      <c r="G721" s="1" t="s">
        <v>779</v>
      </c>
      <c r="H721">
        <v>720</v>
      </c>
      <c r="I721" s="1" t="s">
        <v>36</v>
      </c>
      <c r="J721" s="1" t="s">
        <v>43</v>
      </c>
      <c r="K721" s="1" t="s">
        <v>50</v>
      </c>
      <c r="L721" s="1" t="s">
        <v>33</v>
      </c>
      <c r="M721">
        <v>35</v>
      </c>
      <c r="N721">
        <v>83711</v>
      </c>
      <c r="O721">
        <v>2</v>
      </c>
      <c r="P721">
        <v>3</v>
      </c>
      <c r="Q721">
        <v>21</v>
      </c>
      <c r="R721">
        <v>29</v>
      </c>
      <c r="S721">
        <v>5</v>
      </c>
      <c r="T721">
        <v>3</v>
      </c>
      <c r="U721">
        <v>3</v>
      </c>
      <c r="V721">
        <v>11</v>
      </c>
      <c r="W721">
        <v>4</v>
      </c>
    </row>
    <row r="722" spans="1:23" x14ac:dyDescent="0.25">
      <c r="A722" s="1" t="s">
        <v>23</v>
      </c>
      <c r="B722" s="1" t="s">
        <v>24</v>
      </c>
      <c r="C722" s="1" t="s">
        <v>34</v>
      </c>
      <c r="D722" s="1" t="s">
        <v>26</v>
      </c>
      <c r="E722" s="1" t="s">
        <v>46</v>
      </c>
      <c r="F722" s="1" t="s">
        <v>52</v>
      </c>
      <c r="G722" s="1" t="s">
        <v>780</v>
      </c>
      <c r="H722">
        <v>721</v>
      </c>
      <c r="I722" s="1" t="s">
        <v>36</v>
      </c>
      <c r="J722" s="1" t="s">
        <v>64</v>
      </c>
      <c r="K722" s="1" t="s">
        <v>50</v>
      </c>
      <c r="L722" s="1" t="s">
        <v>33</v>
      </c>
      <c r="M722">
        <v>21</v>
      </c>
      <c r="N722">
        <v>55474</v>
      </c>
      <c r="O722">
        <v>1</v>
      </c>
      <c r="P722">
        <v>2</v>
      </c>
      <c r="Q722">
        <v>10</v>
      </c>
      <c r="R722">
        <v>25</v>
      </c>
      <c r="S722">
        <v>2</v>
      </c>
      <c r="T722">
        <v>1</v>
      </c>
      <c r="U722">
        <v>4</v>
      </c>
      <c r="V722">
        <v>16</v>
      </c>
      <c r="W722">
        <v>3</v>
      </c>
    </row>
    <row r="723" spans="1:23" x14ac:dyDescent="0.25">
      <c r="A723" s="1" t="s">
        <v>23</v>
      </c>
      <c r="B723" s="1" t="s">
        <v>44</v>
      </c>
      <c r="C723" s="1" t="s">
        <v>65</v>
      </c>
      <c r="D723" s="1" t="s">
        <v>26</v>
      </c>
      <c r="E723" s="1" t="s">
        <v>51</v>
      </c>
      <c r="F723" s="1" t="s">
        <v>68</v>
      </c>
      <c r="G723" s="1" t="s">
        <v>781</v>
      </c>
      <c r="H723">
        <v>722</v>
      </c>
      <c r="I723" s="1" t="s">
        <v>30</v>
      </c>
      <c r="J723" s="1" t="s">
        <v>86</v>
      </c>
      <c r="K723" s="1" t="s">
        <v>32</v>
      </c>
      <c r="L723" s="1" t="s">
        <v>23</v>
      </c>
      <c r="M723">
        <v>55</v>
      </c>
      <c r="N723">
        <v>133307</v>
      </c>
      <c r="O723">
        <v>1</v>
      </c>
      <c r="P723">
        <v>3</v>
      </c>
      <c r="Q723">
        <v>32</v>
      </c>
      <c r="R723">
        <v>21</v>
      </c>
      <c r="S723">
        <v>2</v>
      </c>
      <c r="T723">
        <v>2</v>
      </c>
      <c r="U723">
        <v>4</v>
      </c>
      <c r="V723">
        <v>11</v>
      </c>
      <c r="W723">
        <v>4</v>
      </c>
    </row>
    <row r="724" spans="1:23" x14ac:dyDescent="0.25">
      <c r="A724" s="1" t="s">
        <v>23</v>
      </c>
      <c r="B724" s="1" t="s">
        <v>54</v>
      </c>
      <c r="C724" s="1" t="s">
        <v>39</v>
      </c>
      <c r="D724" s="1" t="s">
        <v>26</v>
      </c>
      <c r="E724" s="1" t="s">
        <v>60</v>
      </c>
      <c r="F724" s="1" t="s">
        <v>46</v>
      </c>
      <c r="G724" s="1" t="s">
        <v>782</v>
      </c>
      <c r="H724">
        <v>723</v>
      </c>
      <c r="I724" s="1" t="s">
        <v>36</v>
      </c>
      <c r="J724" s="1" t="s">
        <v>31</v>
      </c>
      <c r="K724" s="1" t="s">
        <v>38</v>
      </c>
      <c r="L724" s="1" t="s">
        <v>23</v>
      </c>
      <c r="M724">
        <v>22</v>
      </c>
      <c r="N724">
        <v>160427</v>
      </c>
      <c r="O724">
        <v>2</v>
      </c>
      <c r="P724">
        <v>1</v>
      </c>
      <c r="Q724">
        <v>14</v>
      </c>
      <c r="R724">
        <v>29</v>
      </c>
      <c r="S724">
        <v>6</v>
      </c>
      <c r="T724">
        <v>1</v>
      </c>
      <c r="U724">
        <v>3</v>
      </c>
      <c r="V724">
        <v>18</v>
      </c>
      <c r="W724">
        <v>3</v>
      </c>
    </row>
    <row r="725" spans="1:23" x14ac:dyDescent="0.25">
      <c r="A725" s="1" t="s">
        <v>23</v>
      </c>
      <c r="B725" s="1" t="s">
        <v>44</v>
      </c>
      <c r="C725" s="1" t="s">
        <v>34</v>
      </c>
      <c r="D725" s="1" t="s">
        <v>26</v>
      </c>
      <c r="E725" s="1" t="s">
        <v>40</v>
      </c>
      <c r="F725" s="1" t="s">
        <v>41</v>
      </c>
      <c r="G725" s="1" t="s">
        <v>783</v>
      </c>
      <c r="H725">
        <v>724</v>
      </c>
      <c r="I725" s="1" t="s">
        <v>30</v>
      </c>
      <c r="J725" s="1" t="s">
        <v>59</v>
      </c>
      <c r="K725" s="1" t="s">
        <v>50</v>
      </c>
      <c r="L725" s="1" t="s">
        <v>23</v>
      </c>
      <c r="M725">
        <v>53</v>
      </c>
      <c r="N725">
        <v>69086</v>
      </c>
      <c r="O725">
        <v>2</v>
      </c>
      <c r="P725">
        <v>2</v>
      </c>
      <c r="Q725">
        <v>1</v>
      </c>
      <c r="R725">
        <v>12</v>
      </c>
      <c r="S725">
        <v>5</v>
      </c>
      <c r="T725">
        <v>3</v>
      </c>
      <c r="U725">
        <v>3</v>
      </c>
      <c r="V725">
        <v>19</v>
      </c>
      <c r="W725">
        <v>5</v>
      </c>
    </row>
    <row r="726" spans="1:23" x14ac:dyDescent="0.25">
      <c r="A726" s="1" t="s">
        <v>23</v>
      </c>
      <c r="B726" s="1" t="s">
        <v>54</v>
      </c>
      <c r="C726" s="1" t="s">
        <v>65</v>
      </c>
      <c r="D726" s="1" t="s">
        <v>26</v>
      </c>
      <c r="E726" s="1" t="s">
        <v>27</v>
      </c>
      <c r="F726" s="1" t="s">
        <v>28</v>
      </c>
      <c r="G726" s="1" t="s">
        <v>784</v>
      </c>
      <c r="H726">
        <v>725</v>
      </c>
      <c r="I726" s="1" t="s">
        <v>30</v>
      </c>
      <c r="J726" s="1" t="s">
        <v>37</v>
      </c>
      <c r="K726" s="1" t="s">
        <v>50</v>
      </c>
      <c r="L726" s="1" t="s">
        <v>33</v>
      </c>
      <c r="M726">
        <v>31</v>
      </c>
      <c r="N726">
        <v>77312</v>
      </c>
      <c r="O726">
        <v>2</v>
      </c>
      <c r="P726">
        <v>4</v>
      </c>
      <c r="Q726">
        <v>12</v>
      </c>
      <c r="R726">
        <v>17</v>
      </c>
      <c r="S726">
        <v>0</v>
      </c>
      <c r="T726">
        <v>4</v>
      </c>
      <c r="U726">
        <v>4</v>
      </c>
      <c r="V726">
        <v>13</v>
      </c>
      <c r="W726">
        <v>5</v>
      </c>
    </row>
    <row r="727" spans="1:23" x14ac:dyDescent="0.25">
      <c r="A727" s="1" t="s">
        <v>33</v>
      </c>
      <c r="B727" s="1" t="s">
        <v>44</v>
      </c>
      <c r="C727" s="1" t="s">
        <v>65</v>
      </c>
      <c r="D727" s="1" t="s">
        <v>73</v>
      </c>
      <c r="E727" s="1" t="s">
        <v>40</v>
      </c>
      <c r="F727" s="1" t="s">
        <v>28</v>
      </c>
      <c r="G727" s="1" t="s">
        <v>785</v>
      </c>
      <c r="H727">
        <v>726</v>
      </c>
      <c r="I727" s="1" t="s">
        <v>36</v>
      </c>
      <c r="J727" s="1" t="s">
        <v>64</v>
      </c>
      <c r="K727" s="1" t="s">
        <v>50</v>
      </c>
      <c r="L727" s="1" t="s">
        <v>23</v>
      </c>
      <c r="M727">
        <v>56</v>
      </c>
      <c r="N727">
        <v>99685</v>
      </c>
      <c r="O727">
        <v>2</v>
      </c>
      <c r="P727">
        <v>1</v>
      </c>
      <c r="Q727">
        <v>3</v>
      </c>
      <c r="R727">
        <v>26</v>
      </c>
      <c r="S727">
        <v>1</v>
      </c>
      <c r="T727">
        <v>2</v>
      </c>
      <c r="U727">
        <v>4</v>
      </c>
      <c r="V727">
        <v>27</v>
      </c>
      <c r="W727">
        <v>2</v>
      </c>
    </row>
    <row r="728" spans="1:23" x14ac:dyDescent="0.25">
      <c r="A728" s="1" t="s">
        <v>23</v>
      </c>
      <c r="B728" s="1" t="s">
        <v>44</v>
      </c>
      <c r="C728" s="1" t="s">
        <v>65</v>
      </c>
      <c r="D728" s="1" t="s">
        <v>26</v>
      </c>
      <c r="E728" s="1" t="s">
        <v>55</v>
      </c>
      <c r="F728" s="1" t="s">
        <v>28</v>
      </c>
      <c r="G728" s="1" t="s">
        <v>786</v>
      </c>
      <c r="H728">
        <v>727</v>
      </c>
      <c r="I728" s="1" t="s">
        <v>36</v>
      </c>
      <c r="J728" s="1" t="s">
        <v>41</v>
      </c>
      <c r="K728" s="1" t="s">
        <v>32</v>
      </c>
      <c r="L728" s="1" t="s">
        <v>33</v>
      </c>
      <c r="M728">
        <v>36</v>
      </c>
      <c r="N728">
        <v>109857</v>
      </c>
      <c r="O728">
        <v>1</v>
      </c>
      <c r="P728">
        <v>2</v>
      </c>
      <c r="Q728">
        <v>17</v>
      </c>
      <c r="R728">
        <v>8</v>
      </c>
      <c r="S728">
        <v>3</v>
      </c>
      <c r="T728">
        <v>1</v>
      </c>
      <c r="U728">
        <v>3</v>
      </c>
      <c r="V728">
        <v>7</v>
      </c>
      <c r="W728">
        <v>4</v>
      </c>
    </row>
    <row r="729" spans="1:23" x14ac:dyDescent="0.25">
      <c r="A729" s="1" t="s">
        <v>23</v>
      </c>
      <c r="B729" s="1" t="s">
        <v>24</v>
      </c>
      <c r="C729" s="1" t="s">
        <v>34</v>
      </c>
      <c r="D729" s="1" t="s">
        <v>26</v>
      </c>
      <c r="E729" s="1" t="s">
        <v>27</v>
      </c>
      <c r="F729" s="1" t="s">
        <v>52</v>
      </c>
      <c r="G729" s="1" t="s">
        <v>787</v>
      </c>
      <c r="H729">
        <v>728</v>
      </c>
      <c r="I729" s="1" t="s">
        <v>30</v>
      </c>
      <c r="J729" s="1" t="s">
        <v>59</v>
      </c>
      <c r="K729" s="1" t="s">
        <v>38</v>
      </c>
      <c r="L729" s="1" t="s">
        <v>33</v>
      </c>
      <c r="M729">
        <v>59</v>
      </c>
      <c r="N729">
        <v>141498</v>
      </c>
      <c r="O729">
        <v>2</v>
      </c>
      <c r="P729">
        <v>4</v>
      </c>
      <c r="Q729">
        <v>19</v>
      </c>
      <c r="R729">
        <v>7</v>
      </c>
      <c r="S729">
        <v>4</v>
      </c>
      <c r="T729">
        <v>4</v>
      </c>
      <c r="U729">
        <v>3</v>
      </c>
      <c r="V729">
        <v>3</v>
      </c>
      <c r="W729">
        <v>3</v>
      </c>
    </row>
    <row r="730" spans="1:23" x14ac:dyDescent="0.25">
      <c r="A730" s="1" t="s">
        <v>33</v>
      </c>
      <c r="B730" s="1" t="s">
        <v>44</v>
      </c>
      <c r="C730" s="1" t="s">
        <v>65</v>
      </c>
      <c r="D730" s="1" t="s">
        <v>73</v>
      </c>
      <c r="E730" s="1" t="s">
        <v>60</v>
      </c>
      <c r="F730" s="1" t="s">
        <v>46</v>
      </c>
      <c r="G730" s="1" t="s">
        <v>788</v>
      </c>
      <c r="H730">
        <v>729</v>
      </c>
      <c r="I730" s="1" t="s">
        <v>30</v>
      </c>
      <c r="J730" s="1" t="s">
        <v>86</v>
      </c>
      <c r="K730" s="1" t="s">
        <v>38</v>
      </c>
      <c r="L730" s="1" t="s">
        <v>33</v>
      </c>
      <c r="M730">
        <v>52</v>
      </c>
      <c r="N730">
        <v>94311</v>
      </c>
      <c r="O730">
        <v>2</v>
      </c>
      <c r="P730">
        <v>1</v>
      </c>
      <c r="Q730">
        <v>5</v>
      </c>
      <c r="R730">
        <v>38</v>
      </c>
      <c r="S730">
        <v>4</v>
      </c>
      <c r="T730">
        <v>3</v>
      </c>
      <c r="U730">
        <v>3</v>
      </c>
      <c r="V730">
        <v>28</v>
      </c>
      <c r="W730">
        <v>4</v>
      </c>
    </row>
    <row r="731" spans="1:23" x14ac:dyDescent="0.25">
      <c r="A731" s="1" t="s">
        <v>23</v>
      </c>
      <c r="B731" s="1" t="s">
        <v>24</v>
      </c>
      <c r="C731" s="1" t="s">
        <v>57</v>
      </c>
      <c r="D731" s="1" t="s">
        <v>26</v>
      </c>
      <c r="E731" s="1" t="s">
        <v>40</v>
      </c>
      <c r="F731" s="1" t="s">
        <v>52</v>
      </c>
      <c r="G731" s="1" t="s">
        <v>789</v>
      </c>
      <c r="H731">
        <v>730</v>
      </c>
      <c r="I731" s="1" t="s">
        <v>30</v>
      </c>
      <c r="J731" s="1" t="s">
        <v>76</v>
      </c>
      <c r="K731" s="1" t="s">
        <v>32</v>
      </c>
      <c r="L731" s="1" t="s">
        <v>23</v>
      </c>
      <c r="M731">
        <v>37</v>
      </c>
      <c r="N731">
        <v>151122</v>
      </c>
      <c r="O731">
        <v>3</v>
      </c>
      <c r="P731">
        <v>4</v>
      </c>
      <c r="Q731">
        <v>16</v>
      </c>
      <c r="R731">
        <v>22</v>
      </c>
      <c r="S731">
        <v>0</v>
      </c>
      <c r="T731">
        <v>1</v>
      </c>
      <c r="U731">
        <v>3</v>
      </c>
      <c r="V731">
        <v>23</v>
      </c>
      <c r="W731">
        <v>4</v>
      </c>
    </row>
    <row r="732" spans="1:23" x14ac:dyDescent="0.25">
      <c r="A732" s="1" t="s">
        <v>23</v>
      </c>
      <c r="B732" s="1" t="s">
        <v>44</v>
      </c>
      <c r="C732" s="1" t="s">
        <v>39</v>
      </c>
      <c r="D732" s="1" t="s">
        <v>26</v>
      </c>
      <c r="E732" s="1" t="s">
        <v>51</v>
      </c>
      <c r="F732" s="1" t="s">
        <v>52</v>
      </c>
      <c r="G732" s="1" t="s">
        <v>790</v>
      </c>
      <c r="H732">
        <v>731</v>
      </c>
      <c r="I732" s="1" t="s">
        <v>36</v>
      </c>
      <c r="J732" s="1" t="s">
        <v>31</v>
      </c>
      <c r="K732" s="1" t="s">
        <v>32</v>
      </c>
      <c r="L732" s="1" t="s">
        <v>23</v>
      </c>
      <c r="M732">
        <v>56</v>
      </c>
      <c r="N732">
        <v>177027</v>
      </c>
      <c r="O732">
        <v>4</v>
      </c>
      <c r="P732">
        <v>4</v>
      </c>
      <c r="Q732">
        <v>2</v>
      </c>
      <c r="R732">
        <v>38</v>
      </c>
      <c r="S732">
        <v>0</v>
      </c>
      <c r="T732">
        <v>1</v>
      </c>
      <c r="U732">
        <v>3</v>
      </c>
      <c r="V732">
        <v>4</v>
      </c>
      <c r="W732">
        <v>2</v>
      </c>
    </row>
    <row r="733" spans="1:23" x14ac:dyDescent="0.25">
      <c r="A733" s="1" t="s">
        <v>23</v>
      </c>
      <c r="B733" s="1" t="s">
        <v>44</v>
      </c>
      <c r="C733" s="1" t="s">
        <v>39</v>
      </c>
      <c r="D733" s="1" t="s">
        <v>26</v>
      </c>
      <c r="E733" s="1" t="s">
        <v>51</v>
      </c>
      <c r="F733" s="1" t="s">
        <v>68</v>
      </c>
      <c r="G733" s="1" t="s">
        <v>791</v>
      </c>
      <c r="H733">
        <v>732</v>
      </c>
      <c r="I733" s="1" t="s">
        <v>30</v>
      </c>
      <c r="J733" s="1" t="s">
        <v>37</v>
      </c>
      <c r="K733" s="1" t="s">
        <v>32</v>
      </c>
      <c r="L733" s="1" t="s">
        <v>23</v>
      </c>
      <c r="M733">
        <v>50</v>
      </c>
      <c r="N733">
        <v>168298</v>
      </c>
      <c r="O733">
        <v>1</v>
      </c>
      <c r="P733">
        <v>4</v>
      </c>
      <c r="Q733">
        <v>40</v>
      </c>
      <c r="R733">
        <v>27</v>
      </c>
      <c r="S733">
        <v>5</v>
      </c>
      <c r="T733">
        <v>1</v>
      </c>
      <c r="U733">
        <v>3</v>
      </c>
      <c r="V733">
        <v>19</v>
      </c>
      <c r="W733">
        <v>2</v>
      </c>
    </row>
    <row r="734" spans="1:23" x14ac:dyDescent="0.25">
      <c r="A734" s="1" t="s">
        <v>23</v>
      </c>
      <c r="B734" s="1" t="s">
        <v>44</v>
      </c>
      <c r="C734" s="1" t="s">
        <v>65</v>
      </c>
      <c r="D734" s="1" t="s">
        <v>26</v>
      </c>
      <c r="E734" s="1" t="s">
        <v>60</v>
      </c>
      <c r="F734" s="1" t="s">
        <v>68</v>
      </c>
      <c r="G734" s="1" t="s">
        <v>792</v>
      </c>
      <c r="H734">
        <v>733</v>
      </c>
      <c r="I734" s="1" t="s">
        <v>30</v>
      </c>
      <c r="J734" s="1" t="s">
        <v>86</v>
      </c>
      <c r="K734" s="1" t="s">
        <v>38</v>
      </c>
      <c r="L734" s="1" t="s">
        <v>23</v>
      </c>
      <c r="M734">
        <v>43</v>
      </c>
      <c r="N734">
        <v>110373</v>
      </c>
      <c r="O734">
        <v>2</v>
      </c>
      <c r="P734">
        <v>3</v>
      </c>
      <c r="Q734">
        <v>28</v>
      </c>
      <c r="R734">
        <v>3</v>
      </c>
      <c r="S734">
        <v>2</v>
      </c>
      <c r="T734">
        <v>4</v>
      </c>
      <c r="U734">
        <v>4</v>
      </c>
      <c r="V734">
        <v>25</v>
      </c>
      <c r="W734">
        <v>2</v>
      </c>
    </row>
    <row r="735" spans="1:23" x14ac:dyDescent="0.25">
      <c r="A735" s="1" t="s">
        <v>23</v>
      </c>
      <c r="B735" s="1" t="s">
        <v>54</v>
      </c>
      <c r="C735" s="1" t="s">
        <v>65</v>
      </c>
      <c r="D735" s="1" t="s">
        <v>26</v>
      </c>
      <c r="E735" s="1" t="s">
        <v>51</v>
      </c>
      <c r="F735" s="1" t="s">
        <v>46</v>
      </c>
      <c r="G735" s="1" t="s">
        <v>793</v>
      </c>
      <c r="H735">
        <v>734</v>
      </c>
      <c r="I735" s="1" t="s">
        <v>36</v>
      </c>
      <c r="J735" s="1" t="s">
        <v>37</v>
      </c>
      <c r="K735" s="1" t="s">
        <v>50</v>
      </c>
      <c r="L735" s="1" t="s">
        <v>23</v>
      </c>
      <c r="M735">
        <v>26</v>
      </c>
      <c r="N735">
        <v>105494</v>
      </c>
      <c r="O735">
        <v>3</v>
      </c>
      <c r="P735">
        <v>2</v>
      </c>
      <c r="Q735">
        <v>20</v>
      </c>
      <c r="R735">
        <v>19</v>
      </c>
      <c r="S735">
        <v>0</v>
      </c>
      <c r="T735">
        <v>1</v>
      </c>
      <c r="U735">
        <v>4</v>
      </c>
      <c r="V735">
        <v>11</v>
      </c>
      <c r="W735">
        <v>5</v>
      </c>
    </row>
    <row r="736" spans="1:23" x14ac:dyDescent="0.25">
      <c r="A736" s="1" t="s">
        <v>23</v>
      </c>
      <c r="B736" s="1" t="s">
        <v>24</v>
      </c>
      <c r="C736" s="1" t="s">
        <v>34</v>
      </c>
      <c r="D736" s="1" t="s">
        <v>26</v>
      </c>
      <c r="E736" s="1" t="s">
        <v>40</v>
      </c>
      <c r="F736" s="1" t="s">
        <v>46</v>
      </c>
      <c r="G736" s="1" t="s">
        <v>794</v>
      </c>
      <c r="H736">
        <v>735</v>
      </c>
      <c r="I736" s="1" t="s">
        <v>36</v>
      </c>
      <c r="J736" s="1" t="s">
        <v>37</v>
      </c>
      <c r="K736" s="1" t="s">
        <v>38</v>
      </c>
      <c r="L736" s="1" t="s">
        <v>23</v>
      </c>
      <c r="M736">
        <v>44</v>
      </c>
      <c r="N736">
        <v>59737</v>
      </c>
      <c r="O736">
        <v>2</v>
      </c>
      <c r="P736">
        <v>3</v>
      </c>
      <c r="Q736">
        <v>1</v>
      </c>
      <c r="R736">
        <v>7</v>
      </c>
      <c r="S736">
        <v>1</v>
      </c>
      <c r="T736">
        <v>3</v>
      </c>
      <c r="U736">
        <v>4</v>
      </c>
      <c r="V736">
        <v>25</v>
      </c>
      <c r="W736">
        <v>5</v>
      </c>
    </row>
    <row r="737" spans="1:23" x14ac:dyDescent="0.25">
      <c r="A737" s="1" t="s">
        <v>23</v>
      </c>
      <c r="B737" s="1" t="s">
        <v>24</v>
      </c>
      <c r="C737" s="1" t="s">
        <v>34</v>
      </c>
      <c r="D737" s="1" t="s">
        <v>26</v>
      </c>
      <c r="E737" s="1" t="s">
        <v>46</v>
      </c>
      <c r="F737" s="1" t="s">
        <v>28</v>
      </c>
      <c r="G737" s="1" t="s">
        <v>795</v>
      </c>
      <c r="H737">
        <v>736</v>
      </c>
      <c r="I737" s="1" t="s">
        <v>30</v>
      </c>
      <c r="J737" s="1" t="s">
        <v>31</v>
      </c>
      <c r="K737" s="1" t="s">
        <v>32</v>
      </c>
      <c r="L737" s="1" t="s">
        <v>23</v>
      </c>
      <c r="M737">
        <v>37</v>
      </c>
      <c r="N737">
        <v>56211</v>
      </c>
      <c r="O737">
        <v>3</v>
      </c>
      <c r="P737">
        <v>3</v>
      </c>
      <c r="Q737">
        <v>25</v>
      </c>
      <c r="R737">
        <v>8</v>
      </c>
      <c r="S737">
        <v>3</v>
      </c>
      <c r="T737">
        <v>1</v>
      </c>
      <c r="U737">
        <v>4</v>
      </c>
      <c r="V737">
        <v>20</v>
      </c>
      <c r="W737">
        <v>5</v>
      </c>
    </row>
    <row r="738" spans="1:23" x14ac:dyDescent="0.25">
      <c r="A738" s="1" t="s">
        <v>33</v>
      </c>
      <c r="B738" s="1" t="s">
        <v>44</v>
      </c>
      <c r="C738" s="1" t="s">
        <v>34</v>
      </c>
      <c r="D738" s="1" t="s">
        <v>73</v>
      </c>
      <c r="E738" s="1" t="s">
        <v>55</v>
      </c>
      <c r="F738" s="1" t="s">
        <v>66</v>
      </c>
      <c r="G738" s="1" t="s">
        <v>796</v>
      </c>
      <c r="H738">
        <v>737</v>
      </c>
      <c r="I738" s="1" t="s">
        <v>30</v>
      </c>
      <c r="J738" s="1" t="s">
        <v>59</v>
      </c>
      <c r="K738" s="1" t="s">
        <v>50</v>
      </c>
      <c r="L738" s="1" t="s">
        <v>23</v>
      </c>
      <c r="M738">
        <v>22</v>
      </c>
      <c r="N738">
        <v>147628</v>
      </c>
      <c r="O738">
        <v>2</v>
      </c>
      <c r="P738">
        <v>2</v>
      </c>
      <c r="Q738">
        <v>15</v>
      </c>
      <c r="R738">
        <v>14</v>
      </c>
      <c r="S738">
        <v>3</v>
      </c>
      <c r="T738">
        <v>2</v>
      </c>
      <c r="U738">
        <v>3</v>
      </c>
      <c r="V738">
        <v>1</v>
      </c>
      <c r="W738">
        <v>3</v>
      </c>
    </row>
    <row r="739" spans="1:23" x14ac:dyDescent="0.25">
      <c r="A739" s="1" t="s">
        <v>23</v>
      </c>
      <c r="B739" s="1" t="s">
        <v>44</v>
      </c>
      <c r="C739" s="1" t="s">
        <v>25</v>
      </c>
      <c r="D739" s="1" t="s">
        <v>26</v>
      </c>
      <c r="E739" s="1" t="s">
        <v>51</v>
      </c>
      <c r="F739" s="1" t="s">
        <v>68</v>
      </c>
      <c r="G739" s="1" t="s">
        <v>797</v>
      </c>
      <c r="H739">
        <v>738</v>
      </c>
      <c r="I739" s="1" t="s">
        <v>36</v>
      </c>
      <c r="J739" s="1" t="s">
        <v>59</v>
      </c>
      <c r="K739" s="1" t="s">
        <v>32</v>
      </c>
      <c r="L739" s="1" t="s">
        <v>33</v>
      </c>
      <c r="M739">
        <v>47</v>
      </c>
      <c r="N739">
        <v>66773</v>
      </c>
      <c r="O739">
        <v>4</v>
      </c>
      <c r="P739">
        <v>4</v>
      </c>
      <c r="Q739">
        <v>16</v>
      </c>
      <c r="R739">
        <v>23</v>
      </c>
      <c r="S739">
        <v>6</v>
      </c>
      <c r="T739">
        <v>3</v>
      </c>
      <c r="U739">
        <v>4</v>
      </c>
      <c r="V739">
        <v>12</v>
      </c>
      <c r="W739">
        <v>3</v>
      </c>
    </row>
    <row r="740" spans="1:23" x14ac:dyDescent="0.25">
      <c r="A740" s="1" t="s">
        <v>33</v>
      </c>
      <c r="B740" s="1" t="s">
        <v>54</v>
      </c>
      <c r="C740" s="1" t="s">
        <v>65</v>
      </c>
      <c r="D740" s="1" t="s">
        <v>73</v>
      </c>
      <c r="E740" s="1" t="s">
        <v>27</v>
      </c>
      <c r="F740" s="1" t="s">
        <v>46</v>
      </c>
      <c r="G740" s="1" t="s">
        <v>798</v>
      </c>
      <c r="H740">
        <v>739</v>
      </c>
      <c r="I740" s="1" t="s">
        <v>30</v>
      </c>
      <c r="J740" s="1" t="s">
        <v>70</v>
      </c>
      <c r="K740" s="1" t="s">
        <v>38</v>
      </c>
      <c r="L740" s="1" t="s">
        <v>33</v>
      </c>
      <c r="M740">
        <v>55</v>
      </c>
      <c r="N740">
        <v>169770</v>
      </c>
      <c r="O740">
        <v>2</v>
      </c>
      <c r="P740">
        <v>1</v>
      </c>
      <c r="Q740">
        <v>32</v>
      </c>
      <c r="R740">
        <v>30</v>
      </c>
      <c r="S740">
        <v>4</v>
      </c>
      <c r="T740">
        <v>3</v>
      </c>
      <c r="U740">
        <v>3</v>
      </c>
      <c r="V740">
        <v>26</v>
      </c>
      <c r="W740">
        <v>5</v>
      </c>
    </row>
    <row r="741" spans="1:23" x14ac:dyDescent="0.25">
      <c r="A741" s="1" t="s">
        <v>23</v>
      </c>
      <c r="B741" s="1" t="s">
        <v>54</v>
      </c>
      <c r="C741" s="1" t="s">
        <v>34</v>
      </c>
      <c r="D741" s="1" t="s">
        <v>26</v>
      </c>
      <c r="E741" s="1" t="s">
        <v>46</v>
      </c>
      <c r="F741" s="1" t="s">
        <v>41</v>
      </c>
      <c r="G741" s="1" t="s">
        <v>799</v>
      </c>
      <c r="H741">
        <v>740</v>
      </c>
      <c r="I741" s="1" t="s">
        <v>30</v>
      </c>
      <c r="J741" s="1" t="s">
        <v>86</v>
      </c>
      <c r="K741" s="1" t="s">
        <v>38</v>
      </c>
      <c r="L741" s="1" t="s">
        <v>33</v>
      </c>
      <c r="M741">
        <v>50</v>
      </c>
      <c r="N741">
        <v>132785</v>
      </c>
      <c r="O741">
        <v>4</v>
      </c>
      <c r="P741">
        <v>4</v>
      </c>
      <c r="Q741">
        <v>4</v>
      </c>
      <c r="R741">
        <v>10</v>
      </c>
      <c r="S741">
        <v>0</v>
      </c>
      <c r="T741">
        <v>4</v>
      </c>
      <c r="U741">
        <v>3</v>
      </c>
      <c r="V741">
        <v>29</v>
      </c>
      <c r="W741">
        <v>3</v>
      </c>
    </row>
    <row r="742" spans="1:23" x14ac:dyDescent="0.25">
      <c r="A742" s="1" t="s">
        <v>23</v>
      </c>
      <c r="B742" s="1" t="s">
        <v>54</v>
      </c>
      <c r="C742" s="1" t="s">
        <v>39</v>
      </c>
      <c r="D742" s="1" t="s">
        <v>26</v>
      </c>
      <c r="E742" s="1" t="s">
        <v>60</v>
      </c>
      <c r="F742" s="1" t="s">
        <v>46</v>
      </c>
      <c r="G742" s="1" t="s">
        <v>800</v>
      </c>
      <c r="H742">
        <v>741</v>
      </c>
      <c r="I742" s="1" t="s">
        <v>30</v>
      </c>
      <c r="J742" s="1" t="s">
        <v>76</v>
      </c>
      <c r="K742" s="1" t="s">
        <v>32</v>
      </c>
      <c r="L742" s="1" t="s">
        <v>23</v>
      </c>
      <c r="M742">
        <v>22</v>
      </c>
      <c r="N742">
        <v>174693</v>
      </c>
      <c r="O742">
        <v>4</v>
      </c>
      <c r="P742">
        <v>4</v>
      </c>
      <c r="Q742">
        <v>8</v>
      </c>
      <c r="R742">
        <v>25</v>
      </c>
      <c r="S742">
        <v>1</v>
      </c>
      <c r="T742">
        <v>4</v>
      </c>
      <c r="U742">
        <v>4</v>
      </c>
      <c r="V742">
        <v>18</v>
      </c>
      <c r="W742">
        <v>3</v>
      </c>
    </row>
    <row r="743" spans="1:23" x14ac:dyDescent="0.25">
      <c r="A743" s="1" t="s">
        <v>23</v>
      </c>
      <c r="B743" s="1" t="s">
        <v>44</v>
      </c>
      <c r="C743" s="1" t="s">
        <v>39</v>
      </c>
      <c r="D743" s="1" t="s">
        <v>26</v>
      </c>
      <c r="E743" s="1" t="s">
        <v>51</v>
      </c>
      <c r="F743" s="1" t="s">
        <v>28</v>
      </c>
      <c r="G743" s="1" t="s">
        <v>801</v>
      </c>
      <c r="H743">
        <v>742</v>
      </c>
      <c r="I743" s="1" t="s">
        <v>36</v>
      </c>
      <c r="J743" s="1" t="s">
        <v>64</v>
      </c>
      <c r="K743" s="1" t="s">
        <v>32</v>
      </c>
      <c r="L743" s="1" t="s">
        <v>33</v>
      </c>
      <c r="M743">
        <v>43</v>
      </c>
      <c r="N743">
        <v>171995</v>
      </c>
      <c r="O743">
        <v>1</v>
      </c>
      <c r="P743">
        <v>1</v>
      </c>
      <c r="Q743">
        <v>39</v>
      </c>
      <c r="R743">
        <v>4</v>
      </c>
      <c r="S743">
        <v>4</v>
      </c>
      <c r="T743">
        <v>4</v>
      </c>
      <c r="U743">
        <v>3</v>
      </c>
      <c r="V743">
        <v>24</v>
      </c>
      <c r="W743">
        <v>2</v>
      </c>
    </row>
    <row r="744" spans="1:23" x14ac:dyDescent="0.25">
      <c r="A744" s="1" t="s">
        <v>23</v>
      </c>
      <c r="B744" s="1" t="s">
        <v>24</v>
      </c>
      <c r="C744" s="1" t="s">
        <v>39</v>
      </c>
      <c r="D744" s="1" t="s">
        <v>26</v>
      </c>
      <c r="E744" s="1" t="s">
        <v>55</v>
      </c>
      <c r="F744" s="1" t="s">
        <v>66</v>
      </c>
      <c r="G744" s="1" t="s">
        <v>802</v>
      </c>
      <c r="H744">
        <v>743</v>
      </c>
      <c r="I744" s="1" t="s">
        <v>36</v>
      </c>
      <c r="J744" s="1" t="s">
        <v>31</v>
      </c>
      <c r="K744" s="1" t="s">
        <v>38</v>
      </c>
      <c r="L744" s="1" t="s">
        <v>33</v>
      </c>
      <c r="M744">
        <v>27</v>
      </c>
      <c r="N744">
        <v>123789</v>
      </c>
      <c r="O744">
        <v>4</v>
      </c>
      <c r="P744">
        <v>4</v>
      </c>
      <c r="Q744">
        <v>24</v>
      </c>
      <c r="R744">
        <v>30</v>
      </c>
      <c r="S744">
        <v>1</v>
      </c>
      <c r="T744">
        <v>3</v>
      </c>
      <c r="U744">
        <v>3</v>
      </c>
      <c r="V744">
        <v>4</v>
      </c>
      <c r="W744">
        <v>3</v>
      </c>
    </row>
    <row r="745" spans="1:23" x14ac:dyDescent="0.25">
      <c r="A745" s="1" t="s">
        <v>23</v>
      </c>
      <c r="B745" s="1" t="s">
        <v>44</v>
      </c>
      <c r="C745" s="1" t="s">
        <v>39</v>
      </c>
      <c r="D745" s="1" t="s">
        <v>26</v>
      </c>
      <c r="E745" s="1" t="s">
        <v>27</v>
      </c>
      <c r="F745" s="1" t="s">
        <v>66</v>
      </c>
      <c r="G745" s="1" t="s">
        <v>803</v>
      </c>
      <c r="H745">
        <v>744</v>
      </c>
      <c r="I745" s="1" t="s">
        <v>30</v>
      </c>
      <c r="J745" s="1" t="s">
        <v>76</v>
      </c>
      <c r="K745" s="1" t="s">
        <v>38</v>
      </c>
      <c r="L745" s="1" t="s">
        <v>33</v>
      </c>
      <c r="M745">
        <v>35</v>
      </c>
      <c r="N745">
        <v>110065</v>
      </c>
      <c r="O745">
        <v>1</v>
      </c>
      <c r="P745">
        <v>3</v>
      </c>
      <c r="Q745">
        <v>28</v>
      </c>
      <c r="R745">
        <v>6</v>
      </c>
      <c r="S745">
        <v>4</v>
      </c>
      <c r="T745">
        <v>3</v>
      </c>
      <c r="U745">
        <v>3</v>
      </c>
      <c r="V745">
        <v>29</v>
      </c>
      <c r="W745">
        <v>5</v>
      </c>
    </row>
    <row r="746" spans="1:23" x14ac:dyDescent="0.25">
      <c r="A746" s="1" t="s">
        <v>23</v>
      </c>
      <c r="B746" s="1" t="s">
        <v>44</v>
      </c>
      <c r="C746" s="1" t="s">
        <v>39</v>
      </c>
      <c r="D746" s="1" t="s">
        <v>26</v>
      </c>
      <c r="E746" s="1" t="s">
        <v>46</v>
      </c>
      <c r="F746" s="1" t="s">
        <v>66</v>
      </c>
      <c r="G746" s="1" t="s">
        <v>804</v>
      </c>
      <c r="H746">
        <v>745</v>
      </c>
      <c r="I746" s="1" t="s">
        <v>30</v>
      </c>
      <c r="J746" s="1" t="s">
        <v>64</v>
      </c>
      <c r="K746" s="1" t="s">
        <v>32</v>
      </c>
      <c r="L746" s="1" t="s">
        <v>33</v>
      </c>
      <c r="M746">
        <v>21</v>
      </c>
      <c r="N746">
        <v>103684</v>
      </c>
      <c r="O746">
        <v>4</v>
      </c>
      <c r="P746">
        <v>3</v>
      </c>
      <c r="Q746">
        <v>1</v>
      </c>
      <c r="R746">
        <v>36</v>
      </c>
      <c r="S746">
        <v>4</v>
      </c>
      <c r="T746">
        <v>3</v>
      </c>
      <c r="U746">
        <v>3</v>
      </c>
      <c r="V746">
        <v>6</v>
      </c>
      <c r="W746">
        <v>2</v>
      </c>
    </row>
    <row r="747" spans="1:23" x14ac:dyDescent="0.25">
      <c r="A747" s="1" t="s">
        <v>23</v>
      </c>
      <c r="B747" s="1" t="s">
        <v>24</v>
      </c>
      <c r="C747" s="1" t="s">
        <v>39</v>
      </c>
      <c r="D747" s="1" t="s">
        <v>26</v>
      </c>
      <c r="E747" s="1" t="s">
        <v>51</v>
      </c>
      <c r="F747" s="1" t="s">
        <v>46</v>
      </c>
      <c r="G747" s="1" t="s">
        <v>805</v>
      </c>
      <c r="H747">
        <v>746</v>
      </c>
      <c r="I747" s="1" t="s">
        <v>30</v>
      </c>
      <c r="J747" s="1" t="s">
        <v>70</v>
      </c>
      <c r="K747" s="1" t="s">
        <v>32</v>
      </c>
      <c r="L747" s="1" t="s">
        <v>23</v>
      </c>
      <c r="M747">
        <v>57</v>
      </c>
      <c r="N747">
        <v>64380</v>
      </c>
      <c r="O747">
        <v>4</v>
      </c>
      <c r="P747">
        <v>2</v>
      </c>
      <c r="Q747">
        <v>32</v>
      </c>
      <c r="R747">
        <v>9</v>
      </c>
      <c r="S747">
        <v>6</v>
      </c>
      <c r="T747">
        <v>4</v>
      </c>
      <c r="U747">
        <v>3</v>
      </c>
      <c r="V747">
        <v>20</v>
      </c>
      <c r="W747">
        <v>1</v>
      </c>
    </row>
    <row r="748" spans="1:23" x14ac:dyDescent="0.25">
      <c r="A748" s="1" t="s">
        <v>33</v>
      </c>
      <c r="B748" s="1" t="s">
        <v>44</v>
      </c>
      <c r="C748" s="1" t="s">
        <v>65</v>
      </c>
      <c r="D748" s="1" t="s">
        <v>73</v>
      </c>
      <c r="E748" s="1" t="s">
        <v>60</v>
      </c>
      <c r="F748" s="1" t="s">
        <v>46</v>
      </c>
      <c r="G748" s="1" t="s">
        <v>806</v>
      </c>
      <c r="H748">
        <v>747</v>
      </c>
      <c r="I748" s="1" t="s">
        <v>30</v>
      </c>
      <c r="J748" s="1" t="s">
        <v>37</v>
      </c>
      <c r="K748" s="1" t="s">
        <v>32</v>
      </c>
      <c r="L748" s="1" t="s">
        <v>33</v>
      </c>
      <c r="M748">
        <v>58</v>
      </c>
      <c r="N748">
        <v>153918</v>
      </c>
      <c r="O748">
        <v>2</v>
      </c>
      <c r="P748">
        <v>1</v>
      </c>
      <c r="Q748">
        <v>31</v>
      </c>
      <c r="R748">
        <v>12</v>
      </c>
      <c r="S748">
        <v>4</v>
      </c>
      <c r="T748">
        <v>2</v>
      </c>
      <c r="U748">
        <v>4</v>
      </c>
      <c r="V748">
        <v>15</v>
      </c>
      <c r="W748">
        <v>5</v>
      </c>
    </row>
    <row r="749" spans="1:23" x14ac:dyDescent="0.25">
      <c r="A749" s="1" t="s">
        <v>23</v>
      </c>
      <c r="B749" s="1" t="s">
        <v>54</v>
      </c>
      <c r="C749" s="1" t="s">
        <v>65</v>
      </c>
      <c r="D749" s="1" t="s">
        <v>26</v>
      </c>
      <c r="E749" s="1" t="s">
        <v>60</v>
      </c>
      <c r="F749" s="1" t="s">
        <v>41</v>
      </c>
      <c r="G749" s="1" t="s">
        <v>807</v>
      </c>
      <c r="H749">
        <v>748</v>
      </c>
      <c r="I749" s="1" t="s">
        <v>30</v>
      </c>
      <c r="J749" s="1" t="s">
        <v>37</v>
      </c>
      <c r="K749" s="1" t="s">
        <v>50</v>
      </c>
      <c r="L749" s="1" t="s">
        <v>23</v>
      </c>
      <c r="M749">
        <v>30</v>
      </c>
      <c r="N749">
        <v>80770</v>
      </c>
      <c r="O749">
        <v>4</v>
      </c>
      <c r="P749">
        <v>2</v>
      </c>
      <c r="Q749">
        <v>25</v>
      </c>
      <c r="R749">
        <v>2</v>
      </c>
      <c r="S749">
        <v>2</v>
      </c>
      <c r="T749">
        <v>1</v>
      </c>
      <c r="U749">
        <v>4</v>
      </c>
      <c r="V749">
        <v>26</v>
      </c>
      <c r="W749">
        <v>5</v>
      </c>
    </row>
    <row r="750" spans="1:23" x14ac:dyDescent="0.25">
      <c r="A750" s="1" t="s">
        <v>23</v>
      </c>
      <c r="B750" s="1" t="s">
        <v>54</v>
      </c>
      <c r="C750" s="1" t="s">
        <v>39</v>
      </c>
      <c r="D750" s="1" t="s">
        <v>26</v>
      </c>
      <c r="E750" s="1" t="s">
        <v>46</v>
      </c>
      <c r="F750" s="1" t="s">
        <v>46</v>
      </c>
      <c r="G750" s="1" t="s">
        <v>808</v>
      </c>
      <c r="H750">
        <v>749</v>
      </c>
      <c r="I750" s="1" t="s">
        <v>36</v>
      </c>
      <c r="J750" s="1" t="s">
        <v>59</v>
      </c>
      <c r="K750" s="1" t="s">
        <v>32</v>
      </c>
      <c r="L750" s="1" t="s">
        <v>33</v>
      </c>
      <c r="M750">
        <v>39</v>
      </c>
      <c r="N750">
        <v>101969</v>
      </c>
      <c r="O750">
        <v>2</v>
      </c>
      <c r="P750">
        <v>4</v>
      </c>
      <c r="Q750">
        <v>12</v>
      </c>
      <c r="R750">
        <v>18</v>
      </c>
      <c r="S750">
        <v>5</v>
      </c>
      <c r="T750">
        <v>4</v>
      </c>
      <c r="U750">
        <v>4</v>
      </c>
      <c r="V750">
        <v>14</v>
      </c>
      <c r="W750">
        <v>4</v>
      </c>
    </row>
    <row r="751" spans="1:23" x14ac:dyDescent="0.25">
      <c r="A751" s="1" t="s">
        <v>23</v>
      </c>
      <c r="B751" s="1" t="s">
        <v>44</v>
      </c>
      <c r="C751" s="1" t="s">
        <v>25</v>
      </c>
      <c r="D751" s="1" t="s">
        <v>26</v>
      </c>
      <c r="E751" s="1" t="s">
        <v>60</v>
      </c>
      <c r="F751" s="1" t="s">
        <v>41</v>
      </c>
      <c r="G751" s="1" t="s">
        <v>809</v>
      </c>
      <c r="H751">
        <v>750</v>
      </c>
      <c r="I751" s="1" t="s">
        <v>36</v>
      </c>
      <c r="J751" s="1" t="s">
        <v>43</v>
      </c>
      <c r="K751" s="1" t="s">
        <v>38</v>
      </c>
      <c r="L751" s="1" t="s">
        <v>23</v>
      </c>
      <c r="M751">
        <v>52</v>
      </c>
      <c r="N751">
        <v>93286</v>
      </c>
      <c r="O751">
        <v>1</v>
      </c>
      <c r="P751">
        <v>1</v>
      </c>
      <c r="Q751">
        <v>12</v>
      </c>
      <c r="R751">
        <v>5</v>
      </c>
      <c r="S751">
        <v>2</v>
      </c>
      <c r="T751">
        <v>2</v>
      </c>
      <c r="U751">
        <v>4</v>
      </c>
      <c r="V751">
        <v>24</v>
      </c>
      <c r="W751">
        <v>1</v>
      </c>
    </row>
    <row r="752" spans="1:23" x14ac:dyDescent="0.25">
      <c r="A752" s="1" t="s">
        <v>23</v>
      </c>
      <c r="B752" s="1" t="s">
        <v>44</v>
      </c>
      <c r="C752" s="1" t="s">
        <v>25</v>
      </c>
      <c r="D752" s="1" t="s">
        <v>26</v>
      </c>
      <c r="E752" s="1" t="s">
        <v>27</v>
      </c>
      <c r="F752" s="1" t="s">
        <v>28</v>
      </c>
      <c r="G752" s="1" t="s">
        <v>810</v>
      </c>
      <c r="H752">
        <v>751</v>
      </c>
      <c r="I752" s="1" t="s">
        <v>36</v>
      </c>
      <c r="J752" s="1" t="s">
        <v>59</v>
      </c>
      <c r="K752" s="1" t="s">
        <v>50</v>
      </c>
      <c r="L752" s="1" t="s">
        <v>23</v>
      </c>
      <c r="M752">
        <v>53</v>
      </c>
      <c r="N752">
        <v>155359</v>
      </c>
      <c r="O752">
        <v>2</v>
      </c>
      <c r="P752">
        <v>3</v>
      </c>
      <c r="Q752">
        <v>2</v>
      </c>
      <c r="R752">
        <v>13</v>
      </c>
      <c r="S752">
        <v>0</v>
      </c>
      <c r="T752">
        <v>4</v>
      </c>
      <c r="U752">
        <v>3</v>
      </c>
      <c r="V752">
        <v>29</v>
      </c>
      <c r="W752">
        <v>2</v>
      </c>
    </row>
    <row r="753" spans="1:23" x14ac:dyDescent="0.25">
      <c r="A753" s="1" t="s">
        <v>23</v>
      </c>
      <c r="B753" s="1" t="s">
        <v>44</v>
      </c>
      <c r="C753" s="1" t="s">
        <v>25</v>
      </c>
      <c r="D753" s="1" t="s">
        <v>26</v>
      </c>
      <c r="E753" s="1" t="s">
        <v>55</v>
      </c>
      <c r="F753" s="1" t="s">
        <v>28</v>
      </c>
      <c r="G753" s="1" t="s">
        <v>811</v>
      </c>
      <c r="H753">
        <v>752</v>
      </c>
      <c r="I753" s="1" t="s">
        <v>30</v>
      </c>
      <c r="J753" s="1" t="s">
        <v>64</v>
      </c>
      <c r="K753" s="1" t="s">
        <v>38</v>
      </c>
      <c r="L753" s="1" t="s">
        <v>33</v>
      </c>
      <c r="M753">
        <v>28</v>
      </c>
      <c r="N753">
        <v>94137</v>
      </c>
      <c r="O753">
        <v>1</v>
      </c>
      <c r="P753">
        <v>2</v>
      </c>
      <c r="Q753">
        <v>21</v>
      </c>
      <c r="R753">
        <v>11</v>
      </c>
      <c r="S753">
        <v>3</v>
      </c>
      <c r="T753">
        <v>2</v>
      </c>
      <c r="U753">
        <v>4</v>
      </c>
      <c r="V753">
        <v>30</v>
      </c>
      <c r="W753">
        <v>4</v>
      </c>
    </row>
    <row r="754" spans="1:23" x14ac:dyDescent="0.25">
      <c r="A754" s="1" t="s">
        <v>23</v>
      </c>
      <c r="B754" s="1" t="s">
        <v>54</v>
      </c>
      <c r="C754" s="1" t="s">
        <v>34</v>
      </c>
      <c r="D754" s="1" t="s">
        <v>26</v>
      </c>
      <c r="E754" s="1" t="s">
        <v>55</v>
      </c>
      <c r="F754" s="1" t="s">
        <v>52</v>
      </c>
      <c r="G754" s="1" t="s">
        <v>812</v>
      </c>
      <c r="H754">
        <v>753</v>
      </c>
      <c r="I754" s="1" t="s">
        <v>36</v>
      </c>
      <c r="J754" s="1" t="s">
        <v>41</v>
      </c>
      <c r="K754" s="1" t="s">
        <v>32</v>
      </c>
      <c r="L754" s="1" t="s">
        <v>23</v>
      </c>
      <c r="M754">
        <v>34</v>
      </c>
      <c r="N754">
        <v>89464</v>
      </c>
      <c r="O754">
        <v>4</v>
      </c>
      <c r="P754">
        <v>1</v>
      </c>
      <c r="Q754">
        <v>26</v>
      </c>
      <c r="R754">
        <v>26</v>
      </c>
      <c r="S754">
        <v>3</v>
      </c>
      <c r="T754">
        <v>3</v>
      </c>
      <c r="U754">
        <v>3</v>
      </c>
      <c r="V754">
        <v>27</v>
      </c>
      <c r="W754">
        <v>4</v>
      </c>
    </row>
    <row r="755" spans="1:23" x14ac:dyDescent="0.25">
      <c r="A755" s="1" t="s">
        <v>23</v>
      </c>
      <c r="B755" s="1" t="s">
        <v>44</v>
      </c>
      <c r="C755" s="1" t="s">
        <v>25</v>
      </c>
      <c r="D755" s="1" t="s">
        <v>26</v>
      </c>
      <c r="E755" s="1" t="s">
        <v>46</v>
      </c>
      <c r="F755" s="1" t="s">
        <v>66</v>
      </c>
      <c r="G755" s="1" t="s">
        <v>813</v>
      </c>
      <c r="H755">
        <v>754</v>
      </c>
      <c r="I755" s="1" t="s">
        <v>36</v>
      </c>
      <c r="J755" s="1" t="s">
        <v>70</v>
      </c>
      <c r="K755" s="1" t="s">
        <v>32</v>
      </c>
      <c r="L755" s="1" t="s">
        <v>33</v>
      </c>
      <c r="M755">
        <v>25</v>
      </c>
      <c r="N755">
        <v>47984</v>
      </c>
      <c r="O755">
        <v>1</v>
      </c>
      <c r="P755">
        <v>2</v>
      </c>
      <c r="Q755">
        <v>31</v>
      </c>
      <c r="R755">
        <v>4</v>
      </c>
      <c r="S755">
        <v>1</v>
      </c>
      <c r="T755">
        <v>3</v>
      </c>
      <c r="U755">
        <v>3</v>
      </c>
      <c r="V755">
        <v>24</v>
      </c>
      <c r="W755">
        <v>3</v>
      </c>
    </row>
    <row r="756" spans="1:23" x14ac:dyDescent="0.25">
      <c r="A756" s="1" t="s">
        <v>33</v>
      </c>
      <c r="B756" s="1" t="s">
        <v>44</v>
      </c>
      <c r="C756" s="1" t="s">
        <v>39</v>
      </c>
      <c r="D756" s="1" t="s">
        <v>73</v>
      </c>
      <c r="E756" s="1" t="s">
        <v>46</v>
      </c>
      <c r="F756" s="1" t="s">
        <v>46</v>
      </c>
      <c r="G756" s="1" t="s">
        <v>814</v>
      </c>
      <c r="H756">
        <v>755</v>
      </c>
      <c r="I756" s="1" t="s">
        <v>36</v>
      </c>
      <c r="J756" s="1" t="s">
        <v>76</v>
      </c>
      <c r="K756" s="1" t="s">
        <v>32</v>
      </c>
      <c r="L756" s="1" t="s">
        <v>23</v>
      </c>
      <c r="M756">
        <v>27</v>
      </c>
      <c r="N756">
        <v>49300</v>
      </c>
      <c r="O756">
        <v>4</v>
      </c>
      <c r="P756">
        <v>2</v>
      </c>
      <c r="Q756">
        <v>5</v>
      </c>
      <c r="R756">
        <v>35</v>
      </c>
      <c r="S756">
        <v>6</v>
      </c>
      <c r="T756">
        <v>4</v>
      </c>
      <c r="U756">
        <v>3</v>
      </c>
      <c r="V756">
        <v>5</v>
      </c>
      <c r="W756">
        <v>5</v>
      </c>
    </row>
    <row r="757" spans="1:23" x14ac:dyDescent="0.25">
      <c r="A757" s="1" t="s">
        <v>33</v>
      </c>
      <c r="B757" s="1" t="s">
        <v>24</v>
      </c>
      <c r="C757" s="1" t="s">
        <v>39</v>
      </c>
      <c r="D757" s="1" t="s">
        <v>73</v>
      </c>
      <c r="E757" s="1" t="s">
        <v>60</v>
      </c>
      <c r="F757" s="1" t="s">
        <v>28</v>
      </c>
      <c r="G757" s="1" t="s">
        <v>815</v>
      </c>
      <c r="H757">
        <v>756</v>
      </c>
      <c r="I757" s="1" t="s">
        <v>30</v>
      </c>
      <c r="J757" s="1" t="s">
        <v>41</v>
      </c>
      <c r="K757" s="1" t="s">
        <v>50</v>
      </c>
      <c r="L757" s="1" t="s">
        <v>33</v>
      </c>
      <c r="M757">
        <v>25</v>
      </c>
      <c r="N757">
        <v>81373</v>
      </c>
      <c r="O757">
        <v>4</v>
      </c>
      <c r="P757">
        <v>3</v>
      </c>
      <c r="Q757">
        <v>28</v>
      </c>
      <c r="R757">
        <v>9</v>
      </c>
      <c r="S757">
        <v>3</v>
      </c>
      <c r="T757">
        <v>1</v>
      </c>
      <c r="U757">
        <v>3</v>
      </c>
      <c r="V757">
        <v>25</v>
      </c>
      <c r="W757">
        <v>2</v>
      </c>
    </row>
    <row r="758" spans="1:23" x14ac:dyDescent="0.25">
      <c r="A758" s="1" t="s">
        <v>23</v>
      </c>
      <c r="B758" s="1" t="s">
        <v>24</v>
      </c>
      <c r="C758" s="1" t="s">
        <v>25</v>
      </c>
      <c r="D758" s="1" t="s">
        <v>26</v>
      </c>
      <c r="E758" s="1" t="s">
        <v>60</v>
      </c>
      <c r="F758" s="1" t="s">
        <v>46</v>
      </c>
      <c r="G758" s="1" t="s">
        <v>816</v>
      </c>
      <c r="H758">
        <v>757</v>
      </c>
      <c r="I758" s="1" t="s">
        <v>36</v>
      </c>
      <c r="J758" s="1" t="s">
        <v>70</v>
      </c>
      <c r="K758" s="1" t="s">
        <v>38</v>
      </c>
      <c r="L758" s="1" t="s">
        <v>23</v>
      </c>
      <c r="M758">
        <v>33</v>
      </c>
      <c r="N758">
        <v>32792</v>
      </c>
      <c r="O758">
        <v>4</v>
      </c>
      <c r="P758">
        <v>4</v>
      </c>
      <c r="Q758">
        <v>9</v>
      </c>
      <c r="R758">
        <v>18</v>
      </c>
      <c r="S758">
        <v>4</v>
      </c>
      <c r="T758">
        <v>1</v>
      </c>
      <c r="U758">
        <v>3</v>
      </c>
      <c r="V758">
        <v>6</v>
      </c>
      <c r="W758">
        <v>2</v>
      </c>
    </row>
    <row r="759" spans="1:23" x14ac:dyDescent="0.25">
      <c r="A759" s="1" t="s">
        <v>23</v>
      </c>
      <c r="B759" s="1" t="s">
        <v>44</v>
      </c>
      <c r="C759" s="1" t="s">
        <v>39</v>
      </c>
      <c r="D759" s="1" t="s">
        <v>26</v>
      </c>
      <c r="E759" s="1" t="s">
        <v>60</v>
      </c>
      <c r="F759" s="1" t="s">
        <v>66</v>
      </c>
      <c r="G759" s="1" t="s">
        <v>817</v>
      </c>
      <c r="H759">
        <v>758</v>
      </c>
      <c r="I759" s="1" t="s">
        <v>30</v>
      </c>
      <c r="J759" s="1" t="s">
        <v>43</v>
      </c>
      <c r="K759" s="1" t="s">
        <v>32</v>
      </c>
      <c r="L759" s="1" t="s">
        <v>23</v>
      </c>
      <c r="M759">
        <v>56</v>
      </c>
      <c r="N759">
        <v>60230</v>
      </c>
      <c r="O759">
        <v>2</v>
      </c>
      <c r="P759">
        <v>3</v>
      </c>
      <c r="Q759">
        <v>3</v>
      </c>
      <c r="R759">
        <v>7</v>
      </c>
      <c r="S759">
        <v>5</v>
      </c>
      <c r="T759">
        <v>1</v>
      </c>
      <c r="U759">
        <v>4</v>
      </c>
      <c r="V759">
        <v>17</v>
      </c>
      <c r="W759">
        <v>5</v>
      </c>
    </row>
    <row r="760" spans="1:23" x14ac:dyDescent="0.25">
      <c r="A760" s="1" t="s">
        <v>23</v>
      </c>
      <c r="B760" s="1" t="s">
        <v>44</v>
      </c>
      <c r="C760" s="1" t="s">
        <v>39</v>
      </c>
      <c r="D760" s="1" t="s">
        <v>26</v>
      </c>
      <c r="E760" s="1" t="s">
        <v>46</v>
      </c>
      <c r="F760" s="1" t="s">
        <v>46</v>
      </c>
      <c r="G760" s="1" t="s">
        <v>818</v>
      </c>
      <c r="H760">
        <v>759</v>
      </c>
      <c r="I760" s="1" t="s">
        <v>30</v>
      </c>
      <c r="J760" s="1" t="s">
        <v>70</v>
      </c>
      <c r="K760" s="1" t="s">
        <v>50</v>
      </c>
      <c r="L760" s="1" t="s">
        <v>33</v>
      </c>
      <c r="M760">
        <v>21</v>
      </c>
      <c r="N760">
        <v>117932</v>
      </c>
      <c r="O760">
        <v>1</v>
      </c>
      <c r="P760">
        <v>1</v>
      </c>
      <c r="Q760">
        <v>24</v>
      </c>
      <c r="R760">
        <v>36</v>
      </c>
      <c r="S760">
        <v>0</v>
      </c>
      <c r="T760">
        <v>2</v>
      </c>
      <c r="U760">
        <v>3</v>
      </c>
      <c r="V760">
        <v>19</v>
      </c>
      <c r="W760">
        <v>5</v>
      </c>
    </row>
    <row r="761" spans="1:23" x14ac:dyDescent="0.25">
      <c r="A761" s="1" t="s">
        <v>23</v>
      </c>
      <c r="B761" s="1" t="s">
        <v>54</v>
      </c>
      <c r="C761" s="1" t="s">
        <v>39</v>
      </c>
      <c r="D761" s="1" t="s">
        <v>26</v>
      </c>
      <c r="E761" s="1" t="s">
        <v>40</v>
      </c>
      <c r="F761" s="1" t="s">
        <v>52</v>
      </c>
      <c r="G761" s="1" t="s">
        <v>819</v>
      </c>
      <c r="H761">
        <v>760</v>
      </c>
      <c r="I761" s="1" t="s">
        <v>36</v>
      </c>
      <c r="J761" s="1" t="s">
        <v>76</v>
      </c>
      <c r="K761" s="1" t="s">
        <v>32</v>
      </c>
      <c r="L761" s="1" t="s">
        <v>23</v>
      </c>
      <c r="M761">
        <v>49</v>
      </c>
      <c r="N761">
        <v>80303</v>
      </c>
      <c r="O761">
        <v>4</v>
      </c>
      <c r="P761">
        <v>3</v>
      </c>
      <c r="Q761">
        <v>22</v>
      </c>
      <c r="R761">
        <v>40</v>
      </c>
      <c r="S761">
        <v>3</v>
      </c>
      <c r="T761">
        <v>4</v>
      </c>
      <c r="U761">
        <v>3</v>
      </c>
      <c r="V761">
        <v>15</v>
      </c>
      <c r="W761">
        <v>5</v>
      </c>
    </row>
    <row r="762" spans="1:23" x14ac:dyDescent="0.25">
      <c r="A762" s="1" t="s">
        <v>33</v>
      </c>
      <c r="B762" s="1" t="s">
        <v>54</v>
      </c>
      <c r="C762" s="1" t="s">
        <v>34</v>
      </c>
      <c r="D762" s="1" t="s">
        <v>73</v>
      </c>
      <c r="E762" s="1" t="s">
        <v>27</v>
      </c>
      <c r="F762" s="1" t="s">
        <v>52</v>
      </c>
      <c r="G762" s="1" t="s">
        <v>820</v>
      </c>
      <c r="H762">
        <v>761</v>
      </c>
      <c r="I762" s="1" t="s">
        <v>30</v>
      </c>
      <c r="J762" s="1" t="s">
        <v>41</v>
      </c>
      <c r="K762" s="1" t="s">
        <v>38</v>
      </c>
      <c r="L762" s="1" t="s">
        <v>33</v>
      </c>
      <c r="M762">
        <v>44</v>
      </c>
      <c r="N762">
        <v>23488</v>
      </c>
      <c r="O762">
        <v>4</v>
      </c>
      <c r="P762">
        <v>3</v>
      </c>
      <c r="Q762">
        <v>9</v>
      </c>
      <c r="R762">
        <v>2</v>
      </c>
      <c r="S762">
        <v>3</v>
      </c>
      <c r="T762">
        <v>4</v>
      </c>
      <c r="U762">
        <v>3</v>
      </c>
      <c r="V762">
        <v>13</v>
      </c>
      <c r="W762">
        <v>2</v>
      </c>
    </row>
    <row r="763" spans="1:23" x14ac:dyDescent="0.25">
      <c r="A763" s="1" t="s">
        <v>33</v>
      </c>
      <c r="B763" s="1" t="s">
        <v>44</v>
      </c>
      <c r="C763" s="1" t="s">
        <v>34</v>
      </c>
      <c r="D763" s="1" t="s">
        <v>73</v>
      </c>
      <c r="E763" s="1" t="s">
        <v>40</v>
      </c>
      <c r="F763" s="1" t="s">
        <v>68</v>
      </c>
      <c r="G763" s="1" t="s">
        <v>821</v>
      </c>
      <c r="H763">
        <v>762</v>
      </c>
      <c r="I763" s="1" t="s">
        <v>36</v>
      </c>
      <c r="J763" s="1" t="s">
        <v>86</v>
      </c>
      <c r="K763" s="1" t="s">
        <v>38</v>
      </c>
      <c r="L763" s="1" t="s">
        <v>23</v>
      </c>
      <c r="M763">
        <v>50</v>
      </c>
      <c r="N763">
        <v>113305</v>
      </c>
      <c r="O763">
        <v>3</v>
      </c>
      <c r="P763">
        <v>3</v>
      </c>
      <c r="Q763">
        <v>25</v>
      </c>
      <c r="R763">
        <v>8</v>
      </c>
      <c r="S763">
        <v>5</v>
      </c>
      <c r="T763">
        <v>2</v>
      </c>
      <c r="U763">
        <v>3</v>
      </c>
      <c r="V763">
        <v>7</v>
      </c>
      <c r="W763">
        <v>2</v>
      </c>
    </row>
    <row r="764" spans="1:23" x14ac:dyDescent="0.25">
      <c r="A764" s="1" t="s">
        <v>23</v>
      </c>
      <c r="B764" s="1" t="s">
        <v>54</v>
      </c>
      <c r="C764" s="1" t="s">
        <v>65</v>
      </c>
      <c r="D764" s="1" t="s">
        <v>26</v>
      </c>
      <c r="E764" s="1" t="s">
        <v>46</v>
      </c>
      <c r="F764" s="1" t="s">
        <v>41</v>
      </c>
      <c r="G764" s="1" t="s">
        <v>822</v>
      </c>
      <c r="H764">
        <v>763</v>
      </c>
      <c r="I764" s="1" t="s">
        <v>36</v>
      </c>
      <c r="J764" s="1" t="s">
        <v>86</v>
      </c>
      <c r="K764" s="1" t="s">
        <v>32</v>
      </c>
      <c r="L764" s="1" t="s">
        <v>23</v>
      </c>
      <c r="M764">
        <v>44</v>
      </c>
      <c r="N764">
        <v>98451</v>
      </c>
      <c r="O764">
        <v>2</v>
      </c>
      <c r="P764">
        <v>4</v>
      </c>
      <c r="Q764">
        <v>9</v>
      </c>
      <c r="R764">
        <v>30</v>
      </c>
      <c r="S764">
        <v>0</v>
      </c>
      <c r="T764">
        <v>4</v>
      </c>
      <c r="U764">
        <v>4</v>
      </c>
      <c r="V764">
        <v>29</v>
      </c>
      <c r="W764">
        <v>5</v>
      </c>
    </row>
    <row r="765" spans="1:23" x14ac:dyDescent="0.25">
      <c r="A765" s="1" t="s">
        <v>23</v>
      </c>
      <c r="B765" s="1" t="s">
        <v>54</v>
      </c>
      <c r="C765" s="1" t="s">
        <v>34</v>
      </c>
      <c r="D765" s="1" t="s">
        <v>26</v>
      </c>
      <c r="E765" s="1" t="s">
        <v>27</v>
      </c>
      <c r="F765" s="1" t="s">
        <v>28</v>
      </c>
      <c r="G765" s="1" t="s">
        <v>823</v>
      </c>
      <c r="H765">
        <v>764</v>
      </c>
      <c r="I765" s="1" t="s">
        <v>36</v>
      </c>
      <c r="J765" s="1" t="s">
        <v>59</v>
      </c>
      <c r="K765" s="1" t="s">
        <v>38</v>
      </c>
      <c r="L765" s="1" t="s">
        <v>33</v>
      </c>
      <c r="M765">
        <v>49</v>
      </c>
      <c r="N765">
        <v>24248</v>
      </c>
      <c r="O765">
        <v>2</v>
      </c>
      <c r="P765">
        <v>4</v>
      </c>
      <c r="Q765">
        <v>36</v>
      </c>
      <c r="R765">
        <v>42</v>
      </c>
      <c r="S765">
        <v>1</v>
      </c>
      <c r="T765">
        <v>3</v>
      </c>
      <c r="U765">
        <v>3</v>
      </c>
      <c r="V765">
        <v>21</v>
      </c>
      <c r="W765">
        <v>4</v>
      </c>
    </row>
    <row r="766" spans="1:23" x14ac:dyDescent="0.25">
      <c r="A766" s="1" t="s">
        <v>23</v>
      </c>
      <c r="B766" s="1" t="s">
        <v>44</v>
      </c>
      <c r="C766" s="1" t="s">
        <v>65</v>
      </c>
      <c r="D766" s="1" t="s">
        <v>26</v>
      </c>
      <c r="E766" s="1" t="s">
        <v>55</v>
      </c>
      <c r="F766" s="1" t="s">
        <v>46</v>
      </c>
      <c r="G766" s="1" t="s">
        <v>824</v>
      </c>
      <c r="H766">
        <v>765</v>
      </c>
      <c r="I766" s="1" t="s">
        <v>36</v>
      </c>
      <c r="J766" s="1" t="s">
        <v>48</v>
      </c>
      <c r="K766" s="1" t="s">
        <v>32</v>
      </c>
      <c r="L766" s="1" t="s">
        <v>33</v>
      </c>
      <c r="M766">
        <v>52</v>
      </c>
      <c r="N766">
        <v>100893</v>
      </c>
      <c r="O766">
        <v>1</v>
      </c>
      <c r="P766">
        <v>1</v>
      </c>
      <c r="Q766">
        <v>4</v>
      </c>
      <c r="R766">
        <v>5</v>
      </c>
      <c r="S766">
        <v>0</v>
      </c>
      <c r="T766">
        <v>1</v>
      </c>
      <c r="U766">
        <v>3</v>
      </c>
      <c r="V766">
        <v>11</v>
      </c>
      <c r="W766">
        <v>1</v>
      </c>
    </row>
    <row r="767" spans="1:23" x14ac:dyDescent="0.25">
      <c r="A767" s="1" t="s">
        <v>23</v>
      </c>
      <c r="B767" s="1" t="s">
        <v>54</v>
      </c>
      <c r="C767" s="1" t="s">
        <v>65</v>
      </c>
      <c r="D767" s="1" t="s">
        <v>26</v>
      </c>
      <c r="E767" s="1" t="s">
        <v>55</v>
      </c>
      <c r="F767" s="1" t="s">
        <v>28</v>
      </c>
      <c r="G767" s="1" t="s">
        <v>825</v>
      </c>
      <c r="H767">
        <v>766</v>
      </c>
      <c r="I767" s="1" t="s">
        <v>30</v>
      </c>
      <c r="J767" s="1" t="s">
        <v>76</v>
      </c>
      <c r="K767" s="1" t="s">
        <v>50</v>
      </c>
      <c r="L767" s="1" t="s">
        <v>23</v>
      </c>
      <c r="M767">
        <v>60</v>
      </c>
      <c r="N767">
        <v>100706</v>
      </c>
      <c r="O767">
        <v>4</v>
      </c>
      <c r="P767">
        <v>4</v>
      </c>
      <c r="Q767">
        <v>21</v>
      </c>
      <c r="R767">
        <v>11</v>
      </c>
      <c r="S767">
        <v>2</v>
      </c>
      <c r="T767">
        <v>3</v>
      </c>
      <c r="U767">
        <v>3</v>
      </c>
      <c r="V767">
        <v>26</v>
      </c>
      <c r="W767">
        <v>5</v>
      </c>
    </row>
    <row r="768" spans="1:23" x14ac:dyDescent="0.25">
      <c r="A768" s="1" t="s">
        <v>23</v>
      </c>
      <c r="B768" s="1" t="s">
        <v>44</v>
      </c>
      <c r="C768" s="1" t="s">
        <v>65</v>
      </c>
      <c r="D768" s="1" t="s">
        <v>26</v>
      </c>
      <c r="E768" s="1" t="s">
        <v>55</v>
      </c>
      <c r="F768" s="1" t="s">
        <v>66</v>
      </c>
      <c r="G768" s="1" t="s">
        <v>826</v>
      </c>
      <c r="H768">
        <v>767</v>
      </c>
      <c r="I768" s="1" t="s">
        <v>36</v>
      </c>
      <c r="J768" s="1" t="s">
        <v>70</v>
      </c>
      <c r="K768" s="1" t="s">
        <v>32</v>
      </c>
      <c r="L768" s="1" t="s">
        <v>23</v>
      </c>
      <c r="M768">
        <v>38</v>
      </c>
      <c r="N768">
        <v>83376</v>
      </c>
      <c r="O768">
        <v>1</v>
      </c>
      <c r="P768">
        <v>2</v>
      </c>
      <c r="Q768">
        <v>28</v>
      </c>
      <c r="R768">
        <v>6</v>
      </c>
      <c r="S768">
        <v>6</v>
      </c>
      <c r="T768">
        <v>1</v>
      </c>
      <c r="U768">
        <v>3</v>
      </c>
      <c r="V768">
        <v>29</v>
      </c>
      <c r="W768">
        <v>4</v>
      </c>
    </row>
    <row r="769" spans="1:23" x14ac:dyDescent="0.25">
      <c r="A769" s="1" t="s">
        <v>23</v>
      </c>
      <c r="B769" s="1" t="s">
        <v>54</v>
      </c>
      <c r="C769" s="1" t="s">
        <v>39</v>
      </c>
      <c r="D769" s="1" t="s">
        <v>26</v>
      </c>
      <c r="E769" s="1" t="s">
        <v>60</v>
      </c>
      <c r="F769" s="1" t="s">
        <v>52</v>
      </c>
      <c r="G769" s="1" t="s">
        <v>827</v>
      </c>
      <c r="H769">
        <v>768</v>
      </c>
      <c r="I769" s="1" t="s">
        <v>36</v>
      </c>
      <c r="J769" s="1" t="s">
        <v>86</v>
      </c>
      <c r="K769" s="1" t="s">
        <v>32</v>
      </c>
      <c r="L769" s="1" t="s">
        <v>33</v>
      </c>
      <c r="M769">
        <v>49</v>
      </c>
      <c r="N769">
        <v>23205</v>
      </c>
      <c r="O769">
        <v>4</v>
      </c>
      <c r="P769">
        <v>3</v>
      </c>
      <c r="Q769">
        <v>21</v>
      </c>
      <c r="R769">
        <v>5</v>
      </c>
      <c r="S769">
        <v>2</v>
      </c>
      <c r="T769">
        <v>1</v>
      </c>
      <c r="U769">
        <v>3</v>
      </c>
      <c r="V769">
        <v>5</v>
      </c>
      <c r="W769">
        <v>5</v>
      </c>
    </row>
    <row r="770" spans="1:23" x14ac:dyDescent="0.25">
      <c r="A770" s="1" t="s">
        <v>23</v>
      </c>
      <c r="B770" s="1" t="s">
        <v>24</v>
      </c>
      <c r="C770" s="1" t="s">
        <v>34</v>
      </c>
      <c r="D770" s="1" t="s">
        <v>26</v>
      </c>
      <c r="E770" s="1" t="s">
        <v>55</v>
      </c>
      <c r="F770" s="1" t="s">
        <v>52</v>
      </c>
      <c r="G770" s="1" t="s">
        <v>828</v>
      </c>
      <c r="H770">
        <v>769</v>
      </c>
      <c r="I770" s="1" t="s">
        <v>30</v>
      </c>
      <c r="J770" s="1" t="s">
        <v>37</v>
      </c>
      <c r="K770" s="1" t="s">
        <v>38</v>
      </c>
      <c r="L770" s="1" t="s">
        <v>33</v>
      </c>
      <c r="M770">
        <v>43</v>
      </c>
      <c r="N770">
        <v>176023</v>
      </c>
      <c r="O770">
        <v>4</v>
      </c>
      <c r="P770">
        <v>1</v>
      </c>
      <c r="Q770">
        <v>39</v>
      </c>
      <c r="R770">
        <v>37</v>
      </c>
      <c r="S770">
        <v>3</v>
      </c>
      <c r="T770">
        <v>2</v>
      </c>
      <c r="U770">
        <v>4</v>
      </c>
      <c r="V770">
        <v>28</v>
      </c>
      <c r="W770">
        <v>3</v>
      </c>
    </row>
    <row r="771" spans="1:23" x14ac:dyDescent="0.25">
      <c r="A771" s="1" t="s">
        <v>23</v>
      </c>
      <c r="B771" s="1" t="s">
        <v>24</v>
      </c>
      <c r="C771" s="1" t="s">
        <v>34</v>
      </c>
      <c r="D771" s="1" t="s">
        <v>26</v>
      </c>
      <c r="E771" s="1" t="s">
        <v>51</v>
      </c>
      <c r="F771" s="1" t="s">
        <v>68</v>
      </c>
      <c r="G771" s="1" t="s">
        <v>829</v>
      </c>
      <c r="H771">
        <v>770</v>
      </c>
      <c r="I771" s="1" t="s">
        <v>36</v>
      </c>
      <c r="J771" s="1" t="s">
        <v>70</v>
      </c>
      <c r="K771" s="1" t="s">
        <v>50</v>
      </c>
      <c r="L771" s="1" t="s">
        <v>33</v>
      </c>
      <c r="M771">
        <v>40</v>
      </c>
      <c r="N771">
        <v>86973</v>
      </c>
      <c r="O771">
        <v>4</v>
      </c>
      <c r="P771">
        <v>4</v>
      </c>
      <c r="Q771">
        <v>21</v>
      </c>
      <c r="R771">
        <v>2</v>
      </c>
      <c r="S771">
        <v>2</v>
      </c>
      <c r="T771">
        <v>4</v>
      </c>
      <c r="U771">
        <v>3</v>
      </c>
      <c r="V771">
        <v>11</v>
      </c>
      <c r="W771">
        <v>5</v>
      </c>
    </row>
    <row r="772" spans="1:23" x14ac:dyDescent="0.25">
      <c r="A772" s="1" t="s">
        <v>23</v>
      </c>
      <c r="B772" s="1" t="s">
        <v>24</v>
      </c>
      <c r="C772" s="1" t="s">
        <v>65</v>
      </c>
      <c r="D772" s="1" t="s">
        <v>26</v>
      </c>
      <c r="E772" s="1" t="s">
        <v>51</v>
      </c>
      <c r="F772" s="1" t="s">
        <v>52</v>
      </c>
      <c r="G772" s="1" t="s">
        <v>830</v>
      </c>
      <c r="H772">
        <v>771</v>
      </c>
      <c r="I772" s="1" t="s">
        <v>30</v>
      </c>
      <c r="J772" s="1" t="s">
        <v>76</v>
      </c>
      <c r="K772" s="1" t="s">
        <v>38</v>
      </c>
      <c r="L772" s="1" t="s">
        <v>33</v>
      </c>
      <c r="M772">
        <v>51</v>
      </c>
      <c r="N772">
        <v>117619</v>
      </c>
      <c r="O772">
        <v>4</v>
      </c>
      <c r="P772">
        <v>1</v>
      </c>
      <c r="Q772">
        <v>17</v>
      </c>
      <c r="R772">
        <v>24</v>
      </c>
      <c r="S772">
        <v>2</v>
      </c>
      <c r="T772">
        <v>3</v>
      </c>
      <c r="U772">
        <v>4</v>
      </c>
      <c r="V772">
        <v>14</v>
      </c>
      <c r="W772">
        <v>3</v>
      </c>
    </row>
    <row r="773" spans="1:23" x14ac:dyDescent="0.25">
      <c r="A773" s="1" t="s">
        <v>23</v>
      </c>
      <c r="B773" s="1" t="s">
        <v>54</v>
      </c>
      <c r="C773" s="1" t="s">
        <v>34</v>
      </c>
      <c r="D773" s="1" t="s">
        <v>26</v>
      </c>
      <c r="E773" s="1" t="s">
        <v>27</v>
      </c>
      <c r="F773" s="1" t="s">
        <v>28</v>
      </c>
      <c r="G773" s="1" t="s">
        <v>831</v>
      </c>
      <c r="H773">
        <v>772</v>
      </c>
      <c r="I773" s="1" t="s">
        <v>36</v>
      </c>
      <c r="J773" s="1" t="s">
        <v>76</v>
      </c>
      <c r="K773" s="1" t="s">
        <v>38</v>
      </c>
      <c r="L773" s="1" t="s">
        <v>33</v>
      </c>
      <c r="M773">
        <v>49</v>
      </c>
      <c r="N773">
        <v>40228</v>
      </c>
      <c r="O773">
        <v>3</v>
      </c>
      <c r="P773">
        <v>1</v>
      </c>
      <c r="Q773">
        <v>1</v>
      </c>
      <c r="R773">
        <v>8</v>
      </c>
      <c r="S773">
        <v>6</v>
      </c>
      <c r="T773">
        <v>1</v>
      </c>
      <c r="U773">
        <v>3</v>
      </c>
      <c r="V773">
        <v>3</v>
      </c>
      <c r="W773">
        <v>2</v>
      </c>
    </row>
    <row r="774" spans="1:23" x14ac:dyDescent="0.25">
      <c r="A774" s="1" t="s">
        <v>23</v>
      </c>
      <c r="B774" s="1" t="s">
        <v>24</v>
      </c>
      <c r="C774" s="1" t="s">
        <v>34</v>
      </c>
      <c r="D774" s="1" t="s">
        <v>26</v>
      </c>
      <c r="E774" s="1" t="s">
        <v>55</v>
      </c>
      <c r="F774" s="1" t="s">
        <v>66</v>
      </c>
      <c r="G774" s="1" t="s">
        <v>832</v>
      </c>
      <c r="H774">
        <v>773</v>
      </c>
      <c r="I774" s="1" t="s">
        <v>30</v>
      </c>
      <c r="J774" s="1" t="s">
        <v>64</v>
      </c>
      <c r="K774" s="1" t="s">
        <v>32</v>
      </c>
      <c r="L774" s="1" t="s">
        <v>23</v>
      </c>
      <c r="M774">
        <v>60</v>
      </c>
      <c r="N774">
        <v>36450</v>
      </c>
      <c r="O774">
        <v>2</v>
      </c>
      <c r="P774">
        <v>4</v>
      </c>
      <c r="Q774">
        <v>40</v>
      </c>
      <c r="R774">
        <v>21</v>
      </c>
      <c r="S774">
        <v>6</v>
      </c>
      <c r="T774">
        <v>1</v>
      </c>
      <c r="U774">
        <v>3</v>
      </c>
      <c r="V774">
        <v>2</v>
      </c>
      <c r="W774">
        <v>2</v>
      </c>
    </row>
    <row r="775" spans="1:23" x14ac:dyDescent="0.25">
      <c r="A775" s="1" t="s">
        <v>23</v>
      </c>
      <c r="B775" s="1" t="s">
        <v>24</v>
      </c>
      <c r="C775" s="1" t="s">
        <v>39</v>
      </c>
      <c r="D775" s="1" t="s">
        <v>26</v>
      </c>
      <c r="E775" s="1" t="s">
        <v>60</v>
      </c>
      <c r="F775" s="1" t="s">
        <v>66</v>
      </c>
      <c r="G775" s="1" t="s">
        <v>833</v>
      </c>
      <c r="H775">
        <v>774</v>
      </c>
      <c r="I775" s="1" t="s">
        <v>30</v>
      </c>
      <c r="J775" s="1" t="s">
        <v>64</v>
      </c>
      <c r="K775" s="1" t="s">
        <v>38</v>
      </c>
      <c r="L775" s="1" t="s">
        <v>33</v>
      </c>
      <c r="M775">
        <v>34</v>
      </c>
      <c r="N775">
        <v>31106</v>
      </c>
      <c r="O775">
        <v>1</v>
      </c>
      <c r="P775">
        <v>4</v>
      </c>
      <c r="Q775">
        <v>20</v>
      </c>
      <c r="R775">
        <v>40</v>
      </c>
      <c r="S775">
        <v>4</v>
      </c>
      <c r="T775">
        <v>2</v>
      </c>
      <c r="U775">
        <v>4</v>
      </c>
      <c r="V775">
        <v>27</v>
      </c>
      <c r="W775">
        <v>2</v>
      </c>
    </row>
    <row r="776" spans="1:23" x14ac:dyDescent="0.25">
      <c r="A776" s="1" t="s">
        <v>23</v>
      </c>
      <c r="B776" s="1" t="s">
        <v>24</v>
      </c>
      <c r="C776" s="1" t="s">
        <v>39</v>
      </c>
      <c r="D776" s="1" t="s">
        <v>26</v>
      </c>
      <c r="E776" s="1" t="s">
        <v>46</v>
      </c>
      <c r="F776" s="1" t="s">
        <v>68</v>
      </c>
      <c r="G776" s="1" t="s">
        <v>834</v>
      </c>
      <c r="H776">
        <v>775</v>
      </c>
      <c r="I776" s="1" t="s">
        <v>36</v>
      </c>
      <c r="J776" s="1" t="s">
        <v>43</v>
      </c>
      <c r="K776" s="1" t="s">
        <v>50</v>
      </c>
      <c r="L776" s="1" t="s">
        <v>23</v>
      </c>
      <c r="M776">
        <v>32</v>
      </c>
      <c r="N776">
        <v>151060</v>
      </c>
      <c r="O776">
        <v>1</v>
      </c>
      <c r="P776">
        <v>1</v>
      </c>
      <c r="Q776">
        <v>11</v>
      </c>
      <c r="R776">
        <v>12</v>
      </c>
      <c r="S776">
        <v>2</v>
      </c>
      <c r="T776">
        <v>2</v>
      </c>
      <c r="U776">
        <v>3</v>
      </c>
      <c r="V776">
        <v>23</v>
      </c>
      <c r="W776">
        <v>1</v>
      </c>
    </row>
    <row r="777" spans="1:23" x14ac:dyDescent="0.25">
      <c r="A777" s="1" t="s">
        <v>23</v>
      </c>
      <c r="B777" s="1" t="s">
        <v>44</v>
      </c>
      <c r="C777" s="1" t="s">
        <v>25</v>
      </c>
      <c r="D777" s="1" t="s">
        <v>26</v>
      </c>
      <c r="E777" s="1" t="s">
        <v>55</v>
      </c>
      <c r="F777" s="1" t="s">
        <v>28</v>
      </c>
      <c r="G777" s="1" t="s">
        <v>835</v>
      </c>
      <c r="H777">
        <v>776</v>
      </c>
      <c r="I777" s="1" t="s">
        <v>30</v>
      </c>
      <c r="J777" s="1" t="s">
        <v>41</v>
      </c>
      <c r="K777" s="1" t="s">
        <v>32</v>
      </c>
      <c r="L777" s="1" t="s">
        <v>23</v>
      </c>
      <c r="M777">
        <v>59</v>
      </c>
      <c r="N777">
        <v>126077</v>
      </c>
      <c r="O777">
        <v>3</v>
      </c>
      <c r="P777">
        <v>2</v>
      </c>
      <c r="Q777">
        <v>27</v>
      </c>
      <c r="R777">
        <v>16</v>
      </c>
      <c r="S777">
        <v>6</v>
      </c>
      <c r="T777">
        <v>3</v>
      </c>
      <c r="U777">
        <v>3</v>
      </c>
      <c r="V777">
        <v>17</v>
      </c>
      <c r="W777">
        <v>1</v>
      </c>
    </row>
    <row r="778" spans="1:23" x14ac:dyDescent="0.25">
      <c r="A778" s="1" t="s">
        <v>23</v>
      </c>
      <c r="B778" s="1" t="s">
        <v>44</v>
      </c>
      <c r="C778" s="1" t="s">
        <v>57</v>
      </c>
      <c r="D778" s="1" t="s">
        <v>26</v>
      </c>
      <c r="E778" s="1" t="s">
        <v>27</v>
      </c>
      <c r="F778" s="1" t="s">
        <v>28</v>
      </c>
      <c r="G778" s="1" t="s">
        <v>836</v>
      </c>
      <c r="H778">
        <v>777</v>
      </c>
      <c r="I778" s="1" t="s">
        <v>30</v>
      </c>
      <c r="J778" s="1" t="s">
        <v>64</v>
      </c>
      <c r="K778" s="1" t="s">
        <v>50</v>
      </c>
      <c r="L778" s="1" t="s">
        <v>23</v>
      </c>
      <c r="M778">
        <v>43</v>
      </c>
      <c r="N778">
        <v>33834</v>
      </c>
      <c r="O778">
        <v>4</v>
      </c>
      <c r="P778">
        <v>1</v>
      </c>
      <c r="Q778">
        <v>28</v>
      </c>
      <c r="R778">
        <v>0</v>
      </c>
      <c r="S778">
        <v>5</v>
      </c>
      <c r="T778">
        <v>1</v>
      </c>
      <c r="U778">
        <v>4</v>
      </c>
      <c r="V778">
        <v>19</v>
      </c>
      <c r="W778">
        <v>3</v>
      </c>
    </row>
    <row r="779" spans="1:23" x14ac:dyDescent="0.25">
      <c r="A779" s="1" t="s">
        <v>23</v>
      </c>
      <c r="B779" s="1" t="s">
        <v>54</v>
      </c>
      <c r="C779" s="1" t="s">
        <v>39</v>
      </c>
      <c r="D779" s="1" t="s">
        <v>26</v>
      </c>
      <c r="E779" s="1" t="s">
        <v>60</v>
      </c>
      <c r="F779" s="1" t="s">
        <v>46</v>
      </c>
      <c r="G779" s="1" t="s">
        <v>837</v>
      </c>
      <c r="H779">
        <v>778</v>
      </c>
      <c r="I779" s="1" t="s">
        <v>36</v>
      </c>
      <c r="J779" s="1" t="s">
        <v>86</v>
      </c>
      <c r="K779" s="1" t="s">
        <v>38</v>
      </c>
      <c r="L779" s="1" t="s">
        <v>23</v>
      </c>
      <c r="M779">
        <v>44</v>
      </c>
      <c r="N779">
        <v>148992</v>
      </c>
      <c r="O779">
        <v>3</v>
      </c>
      <c r="P779">
        <v>4</v>
      </c>
      <c r="Q779">
        <v>20</v>
      </c>
      <c r="R779">
        <v>34</v>
      </c>
      <c r="S779">
        <v>5</v>
      </c>
      <c r="T779">
        <v>2</v>
      </c>
      <c r="U779">
        <v>3</v>
      </c>
      <c r="V779">
        <v>19</v>
      </c>
      <c r="W779">
        <v>2</v>
      </c>
    </row>
    <row r="780" spans="1:23" x14ac:dyDescent="0.25">
      <c r="A780" s="1" t="s">
        <v>23</v>
      </c>
      <c r="B780" s="1" t="s">
        <v>44</v>
      </c>
      <c r="C780" s="1" t="s">
        <v>34</v>
      </c>
      <c r="D780" s="1" t="s">
        <v>26</v>
      </c>
      <c r="E780" s="1" t="s">
        <v>40</v>
      </c>
      <c r="F780" s="1" t="s">
        <v>46</v>
      </c>
      <c r="G780" s="1" t="s">
        <v>838</v>
      </c>
      <c r="H780">
        <v>779</v>
      </c>
      <c r="I780" s="1" t="s">
        <v>36</v>
      </c>
      <c r="J780" s="1" t="s">
        <v>86</v>
      </c>
      <c r="K780" s="1" t="s">
        <v>38</v>
      </c>
      <c r="L780" s="1" t="s">
        <v>23</v>
      </c>
      <c r="M780">
        <v>30</v>
      </c>
      <c r="N780">
        <v>55246</v>
      </c>
      <c r="O780">
        <v>4</v>
      </c>
      <c r="P780">
        <v>4</v>
      </c>
      <c r="Q780">
        <v>1</v>
      </c>
      <c r="R780">
        <v>8</v>
      </c>
      <c r="S780">
        <v>6</v>
      </c>
      <c r="T780">
        <v>3</v>
      </c>
      <c r="U780">
        <v>4</v>
      </c>
      <c r="V780">
        <v>28</v>
      </c>
      <c r="W780">
        <v>2</v>
      </c>
    </row>
    <row r="781" spans="1:23" x14ac:dyDescent="0.25">
      <c r="A781" s="1" t="s">
        <v>23</v>
      </c>
      <c r="B781" s="1" t="s">
        <v>24</v>
      </c>
      <c r="C781" s="1" t="s">
        <v>25</v>
      </c>
      <c r="D781" s="1" t="s">
        <v>26</v>
      </c>
      <c r="E781" s="1" t="s">
        <v>46</v>
      </c>
      <c r="F781" s="1" t="s">
        <v>28</v>
      </c>
      <c r="G781" s="1" t="s">
        <v>839</v>
      </c>
      <c r="H781">
        <v>780</v>
      </c>
      <c r="I781" s="1" t="s">
        <v>30</v>
      </c>
      <c r="J781" s="1" t="s">
        <v>48</v>
      </c>
      <c r="K781" s="1" t="s">
        <v>50</v>
      </c>
      <c r="L781" s="1" t="s">
        <v>33</v>
      </c>
      <c r="M781">
        <v>46</v>
      </c>
      <c r="N781">
        <v>141807</v>
      </c>
      <c r="O781">
        <v>2</v>
      </c>
      <c r="P781">
        <v>3</v>
      </c>
      <c r="Q781">
        <v>21</v>
      </c>
      <c r="R781">
        <v>12</v>
      </c>
      <c r="S781">
        <v>0</v>
      </c>
      <c r="T781">
        <v>4</v>
      </c>
      <c r="U781">
        <v>4</v>
      </c>
      <c r="V781">
        <v>6</v>
      </c>
      <c r="W781">
        <v>3</v>
      </c>
    </row>
    <row r="782" spans="1:23" x14ac:dyDescent="0.25">
      <c r="A782" s="1" t="s">
        <v>23</v>
      </c>
      <c r="B782" s="1" t="s">
        <v>24</v>
      </c>
      <c r="C782" s="1" t="s">
        <v>65</v>
      </c>
      <c r="D782" s="1" t="s">
        <v>26</v>
      </c>
      <c r="E782" s="1" t="s">
        <v>27</v>
      </c>
      <c r="F782" s="1" t="s">
        <v>28</v>
      </c>
      <c r="G782" s="1" t="s">
        <v>840</v>
      </c>
      <c r="H782">
        <v>781</v>
      </c>
      <c r="I782" s="1" t="s">
        <v>36</v>
      </c>
      <c r="J782" s="1" t="s">
        <v>43</v>
      </c>
      <c r="K782" s="1" t="s">
        <v>32</v>
      </c>
      <c r="L782" s="1" t="s">
        <v>23</v>
      </c>
      <c r="M782">
        <v>48</v>
      </c>
      <c r="N782">
        <v>132060</v>
      </c>
      <c r="O782">
        <v>2</v>
      </c>
      <c r="P782">
        <v>4</v>
      </c>
      <c r="Q782">
        <v>3</v>
      </c>
      <c r="R782">
        <v>22</v>
      </c>
      <c r="S782">
        <v>0</v>
      </c>
      <c r="T782">
        <v>1</v>
      </c>
      <c r="U782">
        <v>4</v>
      </c>
      <c r="V782">
        <v>23</v>
      </c>
      <c r="W782">
        <v>4</v>
      </c>
    </row>
    <row r="783" spans="1:23" x14ac:dyDescent="0.25">
      <c r="A783" s="1" t="s">
        <v>23</v>
      </c>
      <c r="B783" s="1" t="s">
        <v>44</v>
      </c>
      <c r="C783" s="1" t="s">
        <v>34</v>
      </c>
      <c r="D783" s="1" t="s">
        <v>26</v>
      </c>
      <c r="E783" s="1" t="s">
        <v>51</v>
      </c>
      <c r="F783" s="1" t="s">
        <v>28</v>
      </c>
      <c r="G783" s="1" t="s">
        <v>841</v>
      </c>
      <c r="H783">
        <v>782</v>
      </c>
      <c r="I783" s="1" t="s">
        <v>36</v>
      </c>
      <c r="J783" s="1" t="s">
        <v>86</v>
      </c>
      <c r="K783" s="1" t="s">
        <v>50</v>
      </c>
      <c r="L783" s="1" t="s">
        <v>23</v>
      </c>
      <c r="M783">
        <v>31</v>
      </c>
      <c r="N783">
        <v>106756</v>
      </c>
      <c r="O783">
        <v>3</v>
      </c>
      <c r="P783">
        <v>4</v>
      </c>
      <c r="Q783">
        <v>39</v>
      </c>
      <c r="R783">
        <v>7</v>
      </c>
      <c r="S783">
        <v>4</v>
      </c>
      <c r="T783">
        <v>2</v>
      </c>
      <c r="U783">
        <v>4</v>
      </c>
      <c r="V783">
        <v>11</v>
      </c>
      <c r="W783">
        <v>3</v>
      </c>
    </row>
    <row r="784" spans="1:23" x14ac:dyDescent="0.25">
      <c r="A784" s="1" t="s">
        <v>23</v>
      </c>
      <c r="B784" s="1" t="s">
        <v>54</v>
      </c>
      <c r="C784" s="1" t="s">
        <v>65</v>
      </c>
      <c r="D784" s="1" t="s">
        <v>26</v>
      </c>
      <c r="E784" s="1" t="s">
        <v>27</v>
      </c>
      <c r="F784" s="1" t="s">
        <v>68</v>
      </c>
      <c r="G784" s="1" t="s">
        <v>842</v>
      </c>
      <c r="H784">
        <v>783</v>
      </c>
      <c r="I784" s="1" t="s">
        <v>30</v>
      </c>
      <c r="J784" s="1" t="s">
        <v>64</v>
      </c>
      <c r="K784" s="1" t="s">
        <v>38</v>
      </c>
      <c r="L784" s="1" t="s">
        <v>23</v>
      </c>
      <c r="M784">
        <v>47</v>
      </c>
      <c r="N784">
        <v>82516</v>
      </c>
      <c r="O784">
        <v>2</v>
      </c>
      <c r="P784">
        <v>3</v>
      </c>
      <c r="Q784">
        <v>14</v>
      </c>
      <c r="R784">
        <v>20</v>
      </c>
      <c r="S784">
        <v>5</v>
      </c>
      <c r="T784">
        <v>4</v>
      </c>
      <c r="U784">
        <v>4</v>
      </c>
      <c r="V784">
        <v>18</v>
      </c>
      <c r="W784">
        <v>3</v>
      </c>
    </row>
    <row r="785" spans="1:23" x14ac:dyDescent="0.25">
      <c r="A785" s="1" t="s">
        <v>23</v>
      </c>
      <c r="B785" s="1" t="s">
        <v>24</v>
      </c>
      <c r="C785" s="1" t="s">
        <v>34</v>
      </c>
      <c r="D785" s="1" t="s">
        <v>26</v>
      </c>
      <c r="E785" s="1" t="s">
        <v>55</v>
      </c>
      <c r="F785" s="1" t="s">
        <v>46</v>
      </c>
      <c r="G785" s="1" t="s">
        <v>843</v>
      </c>
      <c r="H785">
        <v>784</v>
      </c>
      <c r="I785" s="1" t="s">
        <v>30</v>
      </c>
      <c r="J785" s="1" t="s">
        <v>43</v>
      </c>
      <c r="K785" s="1" t="s">
        <v>32</v>
      </c>
      <c r="L785" s="1" t="s">
        <v>33</v>
      </c>
      <c r="M785">
        <v>36</v>
      </c>
      <c r="N785">
        <v>146080</v>
      </c>
      <c r="O785">
        <v>4</v>
      </c>
      <c r="P785">
        <v>1</v>
      </c>
      <c r="Q785">
        <v>20</v>
      </c>
      <c r="R785">
        <v>32</v>
      </c>
      <c r="S785">
        <v>0</v>
      </c>
      <c r="T785">
        <v>4</v>
      </c>
      <c r="U785">
        <v>3</v>
      </c>
      <c r="V785">
        <v>20</v>
      </c>
      <c r="W785">
        <v>3</v>
      </c>
    </row>
    <row r="786" spans="1:23" x14ac:dyDescent="0.25">
      <c r="A786" s="1" t="s">
        <v>23</v>
      </c>
      <c r="B786" s="1" t="s">
        <v>54</v>
      </c>
      <c r="C786" s="1" t="s">
        <v>39</v>
      </c>
      <c r="D786" s="1" t="s">
        <v>26</v>
      </c>
      <c r="E786" s="1" t="s">
        <v>51</v>
      </c>
      <c r="F786" s="1" t="s">
        <v>46</v>
      </c>
      <c r="G786" s="1" t="s">
        <v>844</v>
      </c>
      <c r="H786">
        <v>785</v>
      </c>
      <c r="I786" s="1" t="s">
        <v>30</v>
      </c>
      <c r="J786" s="1" t="s">
        <v>86</v>
      </c>
      <c r="K786" s="1" t="s">
        <v>38</v>
      </c>
      <c r="L786" s="1" t="s">
        <v>33</v>
      </c>
      <c r="M786">
        <v>38</v>
      </c>
      <c r="N786">
        <v>55508</v>
      </c>
      <c r="O786">
        <v>3</v>
      </c>
      <c r="P786">
        <v>1</v>
      </c>
      <c r="Q786">
        <v>30</v>
      </c>
      <c r="R786">
        <v>15</v>
      </c>
      <c r="S786">
        <v>1</v>
      </c>
      <c r="T786">
        <v>1</v>
      </c>
      <c r="U786">
        <v>4</v>
      </c>
      <c r="V786">
        <v>12</v>
      </c>
      <c r="W786">
        <v>5</v>
      </c>
    </row>
    <row r="787" spans="1:23" x14ac:dyDescent="0.25">
      <c r="A787" s="1" t="s">
        <v>23</v>
      </c>
      <c r="B787" s="1" t="s">
        <v>44</v>
      </c>
      <c r="C787" s="1" t="s">
        <v>34</v>
      </c>
      <c r="D787" s="1" t="s">
        <v>26</v>
      </c>
      <c r="E787" s="1" t="s">
        <v>27</v>
      </c>
      <c r="F787" s="1" t="s">
        <v>68</v>
      </c>
      <c r="G787" s="1" t="s">
        <v>845</v>
      </c>
      <c r="H787">
        <v>786</v>
      </c>
      <c r="I787" s="1" t="s">
        <v>36</v>
      </c>
      <c r="J787" s="1" t="s">
        <v>43</v>
      </c>
      <c r="K787" s="1" t="s">
        <v>32</v>
      </c>
      <c r="L787" s="1" t="s">
        <v>33</v>
      </c>
      <c r="M787">
        <v>33</v>
      </c>
      <c r="N787">
        <v>174653</v>
      </c>
      <c r="O787">
        <v>1</v>
      </c>
      <c r="P787">
        <v>3</v>
      </c>
      <c r="Q787">
        <v>3</v>
      </c>
      <c r="R787">
        <v>12</v>
      </c>
      <c r="S787">
        <v>4</v>
      </c>
      <c r="T787">
        <v>3</v>
      </c>
      <c r="U787">
        <v>3</v>
      </c>
      <c r="V787">
        <v>26</v>
      </c>
      <c r="W787">
        <v>4</v>
      </c>
    </row>
    <row r="788" spans="1:23" x14ac:dyDescent="0.25">
      <c r="A788" s="1" t="s">
        <v>23</v>
      </c>
      <c r="B788" s="1" t="s">
        <v>44</v>
      </c>
      <c r="C788" s="1" t="s">
        <v>65</v>
      </c>
      <c r="D788" s="1" t="s">
        <v>26</v>
      </c>
      <c r="E788" s="1" t="s">
        <v>60</v>
      </c>
      <c r="F788" s="1" t="s">
        <v>46</v>
      </c>
      <c r="G788" s="1" t="s">
        <v>846</v>
      </c>
      <c r="H788">
        <v>787</v>
      </c>
      <c r="I788" s="1" t="s">
        <v>30</v>
      </c>
      <c r="J788" s="1" t="s">
        <v>70</v>
      </c>
      <c r="K788" s="1" t="s">
        <v>38</v>
      </c>
      <c r="L788" s="1" t="s">
        <v>33</v>
      </c>
      <c r="M788">
        <v>22</v>
      </c>
      <c r="N788">
        <v>128473</v>
      </c>
      <c r="O788">
        <v>1</v>
      </c>
      <c r="P788">
        <v>3</v>
      </c>
      <c r="Q788">
        <v>29</v>
      </c>
      <c r="R788">
        <v>9</v>
      </c>
      <c r="S788">
        <v>3</v>
      </c>
      <c r="T788">
        <v>4</v>
      </c>
      <c r="U788">
        <v>3</v>
      </c>
      <c r="V788">
        <v>20</v>
      </c>
      <c r="W788">
        <v>4</v>
      </c>
    </row>
    <row r="789" spans="1:23" x14ac:dyDescent="0.25">
      <c r="A789" s="1" t="s">
        <v>23</v>
      </c>
      <c r="B789" s="1" t="s">
        <v>44</v>
      </c>
      <c r="C789" s="1" t="s">
        <v>34</v>
      </c>
      <c r="D789" s="1" t="s">
        <v>26</v>
      </c>
      <c r="E789" s="1" t="s">
        <v>27</v>
      </c>
      <c r="F789" s="1" t="s">
        <v>46</v>
      </c>
      <c r="G789" s="1" t="s">
        <v>847</v>
      </c>
      <c r="H789">
        <v>788</v>
      </c>
      <c r="I789" s="1" t="s">
        <v>30</v>
      </c>
      <c r="J789" s="1" t="s">
        <v>43</v>
      </c>
      <c r="K789" s="1" t="s">
        <v>38</v>
      </c>
      <c r="L789" s="1" t="s">
        <v>23</v>
      </c>
      <c r="M789">
        <v>31</v>
      </c>
      <c r="N789">
        <v>171742</v>
      </c>
      <c r="O789">
        <v>2</v>
      </c>
      <c r="P789">
        <v>3</v>
      </c>
      <c r="Q789">
        <v>1</v>
      </c>
      <c r="R789">
        <v>7</v>
      </c>
      <c r="S789">
        <v>0</v>
      </c>
      <c r="T789">
        <v>3</v>
      </c>
      <c r="U789">
        <v>4</v>
      </c>
      <c r="V789">
        <v>12</v>
      </c>
      <c r="W789">
        <v>2</v>
      </c>
    </row>
    <row r="790" spans="1:23" x14ac:dyDescent="0.25">
      <c r="A790" s="1" t="s">
        <v>23</v>
      </c>
      <c r="B790" s="1" t="s">
        <v>24</v>
      </c>
      <c r="C790" s="1" t="s">
        <v>39</v>
      </c>
      <c r="D790" s="1" t="s">
        <v>26</v>
      </c>
      <c r="E790" s="1" t="s">
        <v>51</v>
      </c>
      <c r="F790" s="1" t="s">
        <v>52</v>
      </c>
      <c r="G790" s="1" t="s">
        <v>848</v>
      </c>
      <c r="H790">
        <v>789</v>
      </c>
      <c r="I790" s="1" t="s">
        <v>36</v>
      </c>
      <c r="J790" s="1" t="s">
        <v>37</v>
      </c>
      <c r="K790" s="1" t="s">
        <v>38</v>
      </c>
      <c r="L790" s="1" t="s">
        <v>33</v>
      </c>
      <c r="M790">
        <v>41</v>
      </c>
      <c r="N790">
        <v>178715</v>
      </c>
      <c r="O790">
        <v>1</v>
      </c>
      <c r="P790">
        <v>3</v>
      </c>
      <c r="Q790">
        <v>20</v>
      </c>
      <c r="R790">
        <v>36</v>
      </c>
      <c r="S790">
        <v>6</v>
      </c>
      <c r="T790">
        <v>1</v>
      </c>
      <c r="U790">
        <v>3</v>
      </c>
      <c r="V790">
        <v>24</v>
      </c>
      <c r="W790">
        <v>2</v>
      </c>
    </row>
    <row r="791" spans="1:23" x14ac:dyDescent="0.25">
      <c r="A791" s="1" t="s">
        <v>23</v>
      </c>
      <c r="B791" s="1" t="s">
        <v>24</v>
      </c>
      <c r="C791" s="1" t="s">
        <v>65</v>
      </c>
      <c r="D791" s="1" t="s">
        <v>26</v>
      </c>
      <c r="E791" s="1" t="s">
        <v>55</v>
      </c>
      <c r="F791" s="1" t="s">
        <v>66</v>
      </c>
      <c r="G791" s="1" t="s">
        <v>849</v>
      </c>
      <c r="H791">
        <v>790</v>
      </c>
      <c r="I791" s="1" t="s">
        <v>30</v>
      </c>
      <c r="J791" s="1" t="s">
        <v>48</v>
      </c>
      <c r="K791" s="1" t="s">
        <v>50</v>
      </c>
      <c r="L791" s="1" t="s">
        <v>23</v>
      </c>
      <c r="M791">
        <v>43</v>
      </c>
      <c r="N791">
        <v>106646</v>
      </c>
      <c r="O791">
        <v>1</v>
      </c>
      <c r="P791">
        <v>4</v>
      </c>
      <c r="Q791">
        <v>21</v>
      </c>
      <c r="R791">
        <v>4</v>
      </c>
      <c r="S791">
        <v>3</v>
      </c>
      <c r="T791">
        <v>4</v>
      </c>
      <c r="U791">
        <v>3</v>
      </c>
      <c r="V791">
        <v>17</v>
      </c>
      <c r="W791">
        <v>4</v>
      </c>
    </row>
    <row r="792" spans="1:23" x14ac:dyDescent="0.25">
      <c r="A792" s="1" t="s">
        <v>23</v>
      </c>
      <c r="B792" s="1" t="s">
        <v>54</v>
      </c>
      <c r="C792" s="1" t="s">
        <v>34</v>
      </c>
      <c r="D792" s="1" t="s">
        <v>26</v>
      </c>
      <c r="E792" s="1" t="s">
        <v>55</v>
      </c>
      <c r="F792" s="1" t="s">
        <v>66</v>
      </c>
      <c r="G792" s="1" t="s">
        <v>850</v>
      </c>
      <c r="H792">
        <v>791</v>
      </c>
      <c r="I792" s="1" t="s">
        <v>30</v>
      </c>
      <c r="J792" s="1" t="s">
        <v>86</v>
      </c>
      <c r="K792" s="1" t="s">
        <v>50</v>
      </c>
      <c r="L792" s="1" t="s">
        <v>33</v>
      </c>
      <c r="M792">
        <v>37</v>
      </c>
      <c r="N792">
        <v>77610</v>
      </c>
      <c r="O792">
        <v>2</v>
      </c>
      <c r="P792">
        <v>1</v>
      </c>
      <c r="Q792">
        <v>35</v>
      </c>
      <c r="R792">
        <v>1</v>
      </c>
      <c r="S792">
        <v>0</v>
      </c>
      <c r="T792">
        <v>2</v>
      </c>
      <c r="U792">
        <v>4</v>
      </c>
      <c r="V792">
        <v>2</v>
      </c>
      <c r="W792">
        <v>1</v>
      </c>
    </row>
    <row r="793" spans="1:23" x14ac:dyDescent="0.25">
      <c r="A793" s="1" t="s">
        <v>23</v>
      </c>
      <c r="B793" s="1" t="s">
        <v>24</v>
      </c>
      <c r="C793" s="1" t="s">
        <v>34</v>
      </c>
      <c r="D793" s="1" t="s">
        <v>26</v>
      </c>
      <c r="E793" s="1" t="s">
        <v>55</v>
      </c>
      <c r="F793" s="1" t="s">
        <v>41</v>
      </c>
      <c r="G793" s="1" t="s">
        <v>851</v>
      </c>
      <c r="H793">
        <v>792</v>
      </c>
      <c r="I793" s="1" t="s">
        <v>36</v>
      </c>
      <c r="J793" s="1" t="s">
        <v>37</v>
      </c>
      <c r="K793" s="1" t="s">
        <v>38</v>
      </c>
      <c r="L793" s="1" t="s">
        <v>23</v>
      </c>
      <c r="M793">
        <v>22</v>
      </c>
      <c r="N793">
        <v>151758</v>
      </c>
      <c r="O793">
        <v>3</v>
      </c>
      <c r="P793">
        <v>4</v>
      </c>
      <c r="Q793">
        <v>1</v>
      </c>
      <c r="R793">
        <v>42</v>
      </c>
      <c r="S793">
        <v>5</v>
      </c>
      <c r="T793">
        <v>4</v>
      </c>
      <c r="U793">
        <v>3</v>
      </c>
      <c r="V793">
        <v>2</v>
      </c>
      <c r="W793">
        <v>2</v>
      </c>
    </row>
    <row r="794" spans="1:23" x14ac:dyDescent="0.25">
      <c r="A794" s="1" t="s">
        <v>23</v>
      </c>
      <c r="B794" s="1" t="s">
        <v>44</v>
      </c>
      <c r="C794" s="1" t="s">
        <v>34</v>
      </c>
      <c r="D794" s="1" t="s">
        <v>26</v>
      </c>
      <c r="E794" s="1" t="s">
        <v>51</v>
      </c>
      <c r="F794" s="1" t="s">
        <v>66</v>
      </c>
      <c r="G794" s="1" t="s">
        <v>852</v>
      </c>
      <c r="H794">
        <v>793</v>
      </c>
      <c r="I794" s="1" t="s">
        <v>36</v>
      </c>
      <c r="J794" s="1" t="s">
        <v>31</v>
      </c>
      <c r="K794" s="1" t="s">
        <v>32</v>
      </c>
      <c r="L794" s="1" t="s">
        <v>23</v>
      </c>
      <c r="M794">
        <v>53</v>
      </c>
      <c r="N794">
        <v>61038</v>
      </c>
      <c r="O794">
        <v>4</v>
      </c>
      <c r="P794">
        <v>2</v>
      </c>
      <c r="Q794">
        <v>9</v>
      </c>
      <c r="R794">
        <v>34</v>
      </c>
      <c r="S794">
        <v>0</v>
      </c>
      <c r="T794">
        <v>3</v>
      </c>
      <c r="U794">
        <v>4</v>
      </c>
      <c r="V794">
        <v>18</v>
      </c>
      <c r="W794">
        <v>3</v>
      </c>
    </row>
    <row r="795" spans="1:23" x14ac:dyDescent="0.25">
      <c r="A795" s="1" t="s">
        <v>23</v>
      </c>
      <c r="B795" s="1" t="s">
        <v>54</v>
      </c>
      <c r="C795" s="1" t="s">
        <v>34</v>
      </c>
      <c r="D795" s="1" t="s">
        <v>26</v>
      </c>
      <c r="E795" s="1" t="s">
        <v>55</v>
      </c>
      <c r="F795" s="1" t="s">
        <v>46</v>
      </c>
      <c r="G795" s="1" t="s">
        <v>853</v>
      </c>
      <c r="H795">
        <v>794</v>
      </c>
      <c r="I795" s="1" t="s">
        <v>36</v>
      </c>
      <c r="J795" s="1" t="s">
        <v>48</v>
      </c>
      <c r="K795" s="1" t="s">
        <v>38</v>
      </c>
      <c r="L795" s="1" t="s">
        <v>23</v>
      </c>
      <c r="M795">
        <v>46</v>
      </c>
      <c r="N795">
        <v>49239</v>
      </c>
      <c r="O795">
        <v>3</v>
      </c>
      <c r="P795">
        <v>4</v>
      </c>
      <c r="Q795">
        <v>1</v>
      </c>
      <c r="R795">
        <v>28</v>
      </c>
      <c r="S795">
        <v>4</v>
      </c>
      <c r="T795">
        <v>4</v>
      </c>
      <c r="U795">
        <v>3</v>
      </c>
      <c r="V795">
        <v>6</v>
      </c>
      <c r="W795">
        <v>1</v>
      </c>
    </row>
    <row r="796" spans="1:23" x14ac:dyDescent="0.25">
      <c r="A796" s="1" t="s">
        <v>23</v>
      </c>
      <c r="B796" s="1" t="s">
        <v>24</v>
      </c>
      <c r="C796" s="1" t="s">
        <v>65</v>
      </c>
      <c r="D796" s="1" t="s">
        <v>26</v>
      </c>
      <c r="E796" s="1" t="s">
        <v>46</v>
      </c>
      <c r="F796" s="1" t="s">
        <v>28</v>
      </c>
      <c r="G796" s="1" t="s">
        <v>854</v>
      </c>
      <c r="H796">
        <v>795</v>
      </c>
      <c r="I796" s="1" t="s">
        <v>36</v>
      </c>
      <c r="J796" s="1" t="s">
        <v>48</v>
      </c>
      <c r="K796" s="1" t="s">
        <v>32</v>
      </c>
      <c r="L796" s="1" t="s">
        <v>23</v>
      </c>
      <c r="M796">
        <v>44</v>
      </c>
      <c r="N796">
        <v>139577</v>
      </c>
      <c r="O796">
        <v>1</v>
      </c>
      <c r="P796">
        <v>2</v>
      </c>
      <c r="Q796">
        <v>36</v>
      </c>
      <c r="R796">
        <v>16</v>
      </c>
      <c r="S796">
        <v>1</v>
      </c>
      <c r="T796">
        <v>1</v>
      </c>
      <c r="U796">
        <v>4</v>
      </c>
      <c r="V796">
        <v>1</v>
      </c>
      <c r="W796">
        <v>2</v>
      </c>
    </row>
    <row r="797" spans="1:23" x14ac:dyDescent="0.25">
      <c r="A797" s="1" t="s">
        <v>23</v>
      </c>
      <c r="B797" s="1" t="s">
        <v>44</v>
      </c>
      <c r="C797" s="1" t="s">
        <v>65</v>
      </c>
      <c r="D797" s="1" t="s">
        <v>26</v>
      </c>
      <c r="E797" s="1" t="s">
        <v>55</v>
      </c>
      <c r="F797" s="1" t="s">
        <v>52</v>
      </c>
      <c r="G797" s="1" t="s">
        <v>855</v>
      </c>
      <c r="H797">
        <v>796</v>
      </c>
      <c r="I797" s="1" t="s">
        <v>36</v>
      </c>
      <c r="J797" s="1" t="s">
        <v>37</v>
      </c>
      <c r="K797" s="1" t="s">
        <v>38</v>
      </c>
      <c r="L797" s="1" t="s">
        <v>23</v>
      </c>
      <c r="M797">
        <v>59</v>
      </c>
      <c r="N797">
        <v>61321</v>
      </c>
      <c r="O797">
        <v>4</v>
      </c>
      <c r="P797">
        <v>4</v>
      </c>
      <c r="Q797">
        <v>35</v>
      </c>
      <c r="R797">
        <v>38</v>
      </c>
      <c r="S797">
        <v>2</v>
      </c>
      <c r="T797">
        <v>2</v>
      </c>
      <c r="U797">
        <v>3</v>
      </c>
      <c r="V797">
        <v>20</v>
      </c>
      <c r="W797">
        <v>1</v>
      </c>
    </row>
    <row r="798" spans="1:23" x14ac:dyDescent="0.25">
      <c r="A798" s="1" t="s">
        <v>33</v>
      </c>
      <c r="B798" s="1" t="s">
        <v>24</v>
      </c>
      <c r="C798" s="1" t="s">
        <v>65</v>
      </c>
      <c r="D798" s="1" t="s">
        <v>73</v>
      </c>
      <c r="E798" s="1" t="s">
        <v>51</v>
      </c>
      <c r="F798" s="1" t="s">
        <v>66</v>
      </c>
      <c r="G798" s="1" t="s">
        <v>856</v>
      </c>
      <c r="H798">
        <v>797</v>
      </c>
      <c r="I798" s="1" t="s">
        <v>36</v>
      </c>
      <c r="J798" s="1" t="s">
        <v>64</v>
      </c>
      <c r="K798" s="1" t="s">
        <v>38</v>
      </c>
      <c r="L798" s="1" t="s">
        <v>23</v>
      </c>
      <c r="M798">
        <v>45</v>
      </c>
      <c r="N798">
        <v>166926</v>
      </c>
      <c r="O798">
        <v>2</v>
      </c>
      <c r="P798">
        <v>1</v>
      </c>
      <c r="Q798">
        <v>3</v>
      </c>
      <c r="R798">
        <v>23</v>
      </c>
      <c r="S798">
        <v>1</v>
      </c>
      <c r="T798">
        <v>2</v>
      </c>
      <c r="U798">
        <v>4</v>
      </c>
      <c r="V798">
        <v>24</v>
      </c>
      <c r="W798">
        <v>3</v>
      </c>
    </row>
    <row r="799" spans="1:23" x14ac:dyDescent="0.25">
      <c r="A799" s="1" t="s">
        <v>23</v>
      </c>
      <c r="B799" s="1" t="s">
        <v>44</v>
      </c>
      <c r="C799" s="1" t="s">
        <v>34</v>
      </c>
      <c r="D799" s="1" t="s">
        <v>26</v>
      </c>
      <c r="E799" s="1" t="s">
        <v>60</v>
      </c>
      <c r="F799" s="1" t="s">
        <v>66</v>
      </c>
      <c r="G799" s="1" t="s">
        <v>857</v>
      </c>
      <c r="H799">
        <v>798</v>
      </c>
      <c r="I799" s="1" t="s">
        <v>30</v>
      </c>
      <c r="J799" s="1" t="s">
        <v>76</v>
      </c>
      <c r="K799" s="1" t="s">
        <v>50</v>
      </c>
      <c r="L799" s="1" t="s">
        <v>23</v>
      </c>
      <c r="M799">
        <v>50</v>
      </c>
      <c r="N799">
        <v>71651</v>
      </c>
      <c r="O799">
        <v>1</v>
      </c>
      <c r="P799">
        <v>1</v>
      </c>
      <c r="Q799">
        <v>30</v>
      </c>
      <c r="R799">
        <v>11</v>
      </c>
      <c r="S799">
        <v>0</v>
      </c>
      <c r="T799">
        <v>1</v>
      </c>
      <c r="U799">
        <v>3</v>
      </c>
      <c r="V799">
        <v>24</v>
      </c>
      <c r="W799">
        <v>2</v>
      </c>
    </row>
    <row r="800" spans="1:23" x14ac:dyDescent="0.25">
      <c r="A800" s="1" t="s">
        <v>23</v>
      </c>
      <c r="B800" s="1" t="s">
        <v>54</v>
      </c>
      <c r="C800" s="1" t="s">
        <v>65</v>
      </c>
      <c r="D800" s="1" t="s">
        <v>26</v>
      </c>
      <c r="E800" s="1" t="s">
        <v>46</v>
      </c>
      <c r="F800" s="1" t="s">
        <v>46</v>
      </c>
      <c r="G800" s="1" t="s">
        <v>858</v>
      </c>
      <c r="H800">
        <v>799</v>
      </c>
      <c r="I800" s="1" t="s">
        <v>36</v>
      </c>
      <c r="J800" s="1" t="s">
        <v>64</v>
      </c>
      <c r="K800" s="1" t="s">
        <v>32</v>
      </c>
      <c r="L800" s="1" t="s">
        <v>23</v>
      </c>
      <c r="M800">
        <v>25</v>
      </c>
      <c r="N800">
        <v>58185</v>
      </c>
      <c r="O800">
        <v>2</v>
      </c>
      <c r="P800">
        <v>1</v>
      </c>
      <c r="Q800">
        <v>25</v>
      </c>
      <c r="R800">
        <v>24</v>
      </c>
      <c r="S800">
        <v>0</v>
      </c>
      <c r="T800">
        <v>1</v>
      </c>
      <c r="U800">
        <v>4</v>
      </c>
      <c r="V800">
        <v>14</v>
      </c>
      <c r="W800">
        <v>4</v>
      </c>
    </row>
    <row r="801" spans="1:23" x14ac:dyDescent="0.25">
      <c r="A801" s="1" t="s">
        <v>23</v>
      </c>
      <c r="B801" s="1" t="s">
        <v>24</v>
      </c>
      <c r="C801" s="1" t="s">
        <v>57</v>
      </c>
      <c r="D801" s="1" t="s">
        <v>26</v>
      </c>
      <c r="E801" s="1" t="s">
        <v>51</v>
      </c>
      <c r="F801" s="1" t="s">
        <v>52</v>
      </c>
      <c r="G801" s="1" t="s">
        <v>859</v>
      </c>
      <c r="H801">
        <v>800</v>
      </c>
      <c r="I801" s="1" t="s">
        <v>30</v>
      </c>
      <c r="J801" s="1" t="s">
        <v>76</v>
      </c>
      <c r="K801" s="1" t="s">
        <v>32</v>
      </c>
      <c r="L801" s="1" t="s">
        <v>23</v>
      </c>
      <c r="M801">
        <v>51</v>
      </c>
      <c r="N801">
        <v>71136</v>
      </c>
      <c r="O801">
        <v>3</v>
      </c>
      <c r="P801">
        <v>1</v>
      </c>
      <c r="Q801">
        <v>17</v>
      </c>
      <c r="R801">
        <v>12</v>
      </c>
      <c r="S801">
        <v>1</v>
      </c>
      <c r="T801">
        <v>4</v>
      </c>
      <c r="U801">
        <v>3</v>
      </c>
      <c r="V801">
        <v>21</v>
      </c>
      <c r="W801">
        <v>1</v>
      </c>
    </row>
    <row r="802" spans="1:23" x14ac:dyDescent="0.25">
      <c r="A802" s="1" t="s">
        <v>33</v>
      </c>
      <c r="B802" s="1" t="s">
        <v>54</v>
      </c>
      <c r="C802" s="1" t="s">
        <v>65</v>
      </c>
      <c r="D802" s="1" t="s">
        <v>73</v>
      </c>
      <c r="E802" s="1" t="s">
        <v>40</v>
      </c>
      <c r="F802" s="1" t="s">
        <v>52</v>
      </c>
      <c r="G802" s="1" t="s">
        <v>860</v>
      </c>
      <c r="H802">
        <v>801</v>
      </c>
      <c r="I802" s="1" t="s">
        <v>36</v>
      </c>
      <c r="J802" s="1" t="s">
        <v>48</v>
      </c>
      <c r="K802" s="1" t="s">
        <v>32</v>
      </c>
      <c r="L802" s="1" t="s">
        <v>33</v>
      </c>
      <c r="M802">
        <v>39</v>
      </c>
      <c r="N802">
        <v>113429</v>
      </c>
      <c r="O802">
        <v>1</v>
      </c>
      <c r="P802">
        <v>3</v>
      </c>
      <c r="Q802">
        <v>29</v>
      </c>
      <c r="R802">
        <v>30</v>
      </c>
      <c r="S802">
        <v>4</v>
      </c>
      <c r="T802">
        <v>2</v>
      </c>
      <c r="U802">
        <v>4</v>
      </c>
      <c r="V802">
        <v>22</v>
      </c>
      <c r="W802">
        <v>3</v>
      </c>
    </row>
    <row r="803" spans="1:23" x14ac:dyDescent="0.25">
      <c r="A803" s="1" t="s">
        <v>23</v>
      </c>
      <c r="B803" s="1" t="s">
        <v>54</v>
      </c>
      <c r="C803" s="1" t="s">
        <v>39</v>
      </c>
      <c r="D803" s="1" t="s">
        <v>26</v>
      </c>
      <c r="E803" s="1" t="s">
        <v>27</v>
      </c>
      <c r="F803" s="1" t="s">
        <v>52</v>
      </c>
      <c r="G803" s="1" t="s">
        <v>861</v>
      </c>
      <c r="H803">
        <v>802</v>
      </c>
      <c r="I803" s="1" t="s">
        <v>36</v>
      </c>
      <c r="J803" s="1" t="s">
        <v>41</v>
      </c>
      <c r="K803" s="1" t="s">
        <v>50</v>
      </c>
      <c r="L803" s="1" t="s">
        <v>23</v>
      </c>
      <c r="M803">
        <v>44</v>
      </c>
      <c r="N803">
        <v>140548</v>
      </c>
      <c r="O803">
        <v>3</v>
      </c>
      <c r="P803">
        <v>3</v>
      </c>
      <c r="Q803">
        <v>9</v>
      </c>
      <c r="R803">
        <v>31</v>
      </c>
      <c r="S803">
        <v>5</v>
      </c>
      <c r="T803">
        <v>4</v>
      </c>
      <c r="U803">
        <v>4</v>
      </c>
      <c r="V803">
        <v>14</v>
      </c>
      <c r="W803">
        <v>1</v>
      </c>
    </row>
    <row r="804" spans="1:23" x14ac:dyDescent="0.25">
      <c r="A804" s="1" t="s">
        <v>23</v>
      </c>
      <c r="B804" s="1" t="s">
        <v>44</v>
      </c>
      <c r="C804" s="1" t="s">
        <v>65</v>
      </c>
      <c r="D804" s="1" t="s">
        <v>26</v>
      </c>
      <c r="E804" s="1" t="s">
        <v>27</v>
      </c>
      <c r="F804" s="1" t="s">
        <v>52</v>
      </c>
      <c r="G804" s="1" t="s">
        <v>862</v>
      </c>
      <c r="H804">
        <v>803</v>
      </c>
      <c r="I804" s="1" t="s">
        <v>36</v>
      </c>
      <c r="J804" s="1" t="s">
        <v>86</v>
      </c>
      <c r="K804" s="1" t="s">
        <v>32</v>
      </c>
      <c r="L804" s="1" t="s">
        <v>33</v>
      </c>
      <c r="M804">
        <v>23</v>
      </c>
      <c r="N804">
        <v>108034</v>
      </c>
      <c r="O804">
        <v>2</v>
      </c>
      <c r="P804">
        <v>3</v>
      </c>
      <c r="Q804">
        <v>34</v>
      </c>
      <c r="R804">
        <v>40</v>
      </c>
      <c r="S804">
        <v>6</v>
      </c>
      <c r="T804">
        <v>2</v>
      </c>
      <c r="U804">
        <v>3</v>
      </c>
      <c r="V804">
        <v>27</v>
      </c>
      <c r="W804">
        <v>2</v>
      </c>
    </row>
    <row r="805" spans="1:23" x14ac:dyDescent="0.25">
      <c r="A805" s="1" t="s">
        <v>23</v>
      </c>
      <c r="B805" s="1" t="s">
        <v>24</v>
      </c>
      <c r="C805" s="1" t="s">
        <v>34</v>
      </c>
      <c r="D805" s="1" t="s">
        <v>26</v>
      </c>
      <c r="E805" s="1" t="s">
        <v>40</v>
      </c>
      <c r="F805" s="1" t="s">
        <v>41</v>
      </c>
      <c r="G805" s="1" t="s">
        <v>863</v>
      </c>
      <c r="H805">
        <v>804</v>
      </c>
      <c r="I805" s="1" t="s">
        <v>30</v>
      </c>
      <c r="J805" s="1" t="s">
        <v>59</v>
      </c>
      <c r="K805" s="1" t="s">
        <v>50</v>
      </c>
      <c r="L805" s="1" t="s">
        <v>33</v>
      </c>
      <c r="M805">
        <v>37</v>
      </c>
      <c r="N805">
        <v>162296</v>
      </c>
      <c r="O805">
        <v>2</v>
      </c>
      <c r="P805">
        <v>2</v>
      </c>
      <c r="Q805">
        <v>21</v>
      </c>
      <c r="R805">
        <v>31</v>
      </c>
      <c r="S805">
        <v>0</v>
      </c>
      <c r="T805">
        <v>3</v>
      </c>
      <c r="U805">
        <v>4</v>
      </c>
      <c r="V805">
        <v>18</v>
      </c>
      <c r="W805">
        <v>4</v>
      </c>
    </row>
    <row r="806" spans="1:23" x14ac:dyDescent="0.25">
      <c r="A806" s="1" t="s">
        <v>23</v>
      </c>
      <c r="B806" s="1" t="s">
        <v>54</v>
      </c>
      <c r="C806" s="1" t="s">
        <v>65</v>
      </c>
      <c r="D806" s="1" t="s">
        <v>26</v>
      </c>
      <c r="E806" s="1" t="s">
        <v>55</v>
      </c>
      <c r="F806" s="1" t="s">
        <v>46</v>
      </c>
      <c r="G806" s="1" t="s">
        <v>864</v>
      </c>
      <c r="H806">
        <v>805</v>
      </c>
      <c r="I806" s="1" t="s">
        <v>36</v>
      </c>
      <c r="J806" s="1" t="s">
        <v>31</v>
      </c>
      <c r="K806" s="1" t="s">
        <v>50</v>
      </c>
      <c r="L806" s="1" t="s">
        <v>23</v>
      </c>
      <c r="M806">
        <v>30</v>
      </c>
      <c r="N806">
        <v>67369</v>
      </c>
      <c r="O806">
        <v>1</v>
      </c>
      <c r="P806">
        <v>1</v>
      </c>
      <c r="Q806">
        <v>31</v>
      </c>
      <c r="R806">
        <v>9</v>
      </c>
      <c r="S806">
        <v>0</v>
      </c>
      <c r="T806">
        <v>3</v>
      </c>
      <c r="U806">
        <v>3</v>
      </c>
      <c r="V806">
        <v>25</v>
      </c>
      <c r="W806">
        <v>4</v>
      </c>
    </row>
    <row r="807" spans="1:23" x14ac:dyDescent="0.25">
      <c r="A807" s="1" t="s">
        <v>23</v>
      </c>
      <c r="B807" s="1" t="s">
        <v>24</v>
      </c>
      <c r="C807" s="1" t="s">
        <v>34</v>
      </c>
      <c r="D807" s="1" t="s">
        <v>26</v>
      </c>
      <c r="E807" s="1" t="s">
        <v>46</v>
      </c>
      <c r="F807" s="1" t="s">
        <v>28</v>
      </c>
      <c r="G807" s="1" t="s">
        <v>865</v>
      </c>
      <c r="H807">
        <v>806</v>
      </c>
      <c r="I807" s="1" t="s">
        <v>30</v>
      </c>
      <c r="J807" s="1" t="s">
        <v>64</v>
      </c>
      <c r="K807" s="1" t="s">
        <v>50</v>
      </c>
      <c r="L807" s="1" t="s">
        <v>23</v>
      </c>
      <c r="M807">
        <v>28</v>
      </c>
      <c r="N807">
        <v>72286</v>
      </c>
      <c r="O807">
        <v>2</v>
      </c>
      <c r="P807">
        <v>1</v>
      </c>
      <c r="Q807">
        <v>4</v>
      </c>
      <c r="R807">
        <v>16</v>
      </c>
      <c r="S807">
        <v>3</v>
      </c>
      <c r="T807">
        <v>1</v>
      </c>
      <c r="U807">
        <v>4</v>
      </c>
      <c r="V807">
        <v>12</v>
      </c>
      <c r="W807">
        <v>4</v>
      </c>
    </row>
    <row r="808" spans="1:23" x14ac:dyDescent="0.25">
      <c r="A808" s="1" t="s">
        <v>23</v>
      </c>
      <c r="B808" s="1" t="s">
        <v>44</v>
      </c>
      <c r="C808" s="1" t="s">
        <v>39</v>
      </c>
      <c r="D808" s="1" t="s">
        <v>26</v>
      </c>
      <c r="E808" s="1" t="s">
        <v>27</v>
      </c>
      <c r="F808" s="1" t="s">
        <v>46</v>
      </c>
      <c r="G808" s="1" t="s">
        <v>866</v>
      </c>
      <c r="H808">
        <v>807</v>
      </c>
      <c r="I808" s="1" t="s">
        <v>30</v>
      </c>
      <c r="J808" s="1" t="s">
        <v>76</v>
      </c>
      <c r="K808" s="1" t="s">
        <v>38</v>
      </c>
      <c r="L808" s="1" t="s">
        <v>23</v>
      </c>
      <c r="M808">
        <v>60</v>
      </c>
      <c r="N808">
        <v>173539</v>
      </c>
      <c r="O808">
        <v>1</v>
      </c>
      <c r="P808">
        <v>4</v>
      </c>
      <c r="Q808">
        <v>2</v>
      </c>
      <c r="R808">
        <v>31</v>
      </c>
      <c r="S808">
        <v>2</v>
      </c>
      <c r="T808">
        <v>3</v>
      </c>
      <c r="U808">
        <v>3</v>
      </c>
      <c r="V808">
        <v>9</v>
      </c>
      <c r="W808">
        <v>4</v>
      </c>
    </row>
    <row r="809" spans="1:23" x14ac:dyDescent="0.25">
      <c r="A809" s="1" t="s">
        <v>33</v>
      </c>
      <c r="B809" s="1" t="s">
        <v>24</v>
      </c>
      <c r="C809" s="1" t="s">
        <v>34</v>
      </c>
      <c r="D809" s="1" t="s">
        <v>73</v>
      </c>
      <c r="E809" s="1" t="s">
        <v>51</v>
      </c>
      <c r="F809" s="1" t="s">
        <v>68</v>
      </c>
      <c r="G809" s="1" t="s">
        <v>867</v>
      </c>
      <c r="H809">
        <v>808</v>
      </c>
      <c r="I809" s="1" t="s">
        <v>36</v>
      </c>
      <c r="J809" s="1" t="s">
        <v>86</v>
      </c>
      <c r="K809" s="1" t="s">
        <v>50</v>
      </c>
      <c r="L809" s="1" t="s">
        <v>23</v>
      </c>
      <c r="M809">
        <v>23</v>
      </c>
      <c r="N809">
        <v>145781</v>
      </c>
      <c r="O809">
        <v>1</v>
      </c>
      <c r="P809">
        <v>4</v>
      </c>
      <c r="Q809">
        <v>16</v>
      </c>
      <c r="R809">
        <v>34</v>
      </c>
      <c r="S809">
        <v>0</v>
      </c>
      <c r="T809">
        <v>1</v>
      </c>
      <c r="U809">
        <v>3</v>
      </c>
      <c r="V809">
        <v>24</v>
      </c>
      <c r="W809">
        <v>1</v>
      </c>
    </row>
    <row r="810" spans="1:23" x14ac:dyDescent="0.25">
      <c r="A810" s="1" t="s">
        <v>23</v>
      </c>
      <c r="B810" s="1" t="s">
        <v>54</v>
      </c>
      <c r="C810" s="1" t="s">
        <v>39</v>
      </c>
      <c r="D810" s="1" t="s">
        <v>26</v>
      </c>
      <c r="E810" s="1" t="s">
        <v>55</v>
      </c>
      <c r="F810" s="1" t="s">
        <v>68</v>
      </c>
      <c r="G810" s="1" t="s">
        <v>868</v>
      </c>
      <c r="H810">
        <v>809</v>
      </c>
      <c r="I810" s="1" t="s">
        <v>30</v>
      </c>
      <c r="J810" s="1" t="s">
        <v>37</v>
      </c>
      <c r="K810" s="1" t="s">
        <v>38</v>
      </c>
      <c r="L810" s="1" t="s">
        <v>23</v>
      </c>
      <c r="M810">
        <v>34</v>
      </c>
      <c r="N810">
        <v>178882</v>
      </c>
      <c r="O810">
        <v>4</v>
      </c>
      <c r="P810">
        <v>1</v>
      </c>
      <c r="Q810">
        <v>0</v>
      </c>
      <c r="R810">
        <v>8</v>
      </c>
      <c r="S810">
        <v>4</v>
      </c>
      <c r="T810">
        <v>1</v>
      </c>
      <c r="U810">
        <v>4</v>
      </c>
      <c r="V810">
        <v>3</v>
      </c>
      <c r="W810">
        <v>5</v>
      </c>
    </row>
    <row r="811" spans="1:23" x14ac:dyDescent="0.25">
      <c r="A811" s="1" t="s">
        <v>23</v>
      </c>
      <c r="B811" s="1" t="s">
        <v>44</v>
      </c>
      <c r="C811" s="1" t="s">
        <v>34</v>
      </c>
      <c r="D811" s="1" t="s">
        <v>26</v>
      </c>
      <c r="E811" s="1" t="s">
        <v>51</v>
      </c>
      <c r="F811" s="1" t="s">
        <v>41</v>
      </c>
      <c r="G811" s="1" t="s">
        <v>869</v>
      </c>
      <c r="H811">
        <v>810</v>
      </c>
      <c r="I811" s="1" t="s">
        <v>30</v>
      </c>
      <c r="J811" s="1" t="s">
        <v>76</v>
      </c>
      <c r="K811" s="1" t="s">
        <v>32</v>
      </c>
      <c r="L811" s="1" t="s">
        <v>33</v>
      </c>
      <c r="M811">
        <v>54</v>
      </c>
      <c r="N811">
        <v>146738</v>
      </c>
      <c r="O811">
        <v>2</v>
      </c>
      <c r="P811">
        <v>4</v>
      </c>
      <c r="Q811">
        <v>18</v>
      </c>
      <c r="R811">
        <v>10</v>
      </c>
      <c r="S811">
        <v>0</v>
      </c>
      <c r="T811">
        <v>3</v>
      </c>
      <c r="U811">
        <v>4</v>
      </c>
      <c r="V811">
        <v>14</v>
      </c>
      <c r="W811">
        <v>1</v>
      </c>
    </row>
    <row r="812" spans="1:23" x14ac:dyDescent="0.25">
      <c r="A812" s="1" t="s">
        <v>23</v>
      </c>
      <c r="B812" s="1" t="s">
        <v>24</v>
      </c>
      <c r="C812" s="1" t="s">
        <v>57</v>
      </c>
      <c r="D812" s="1" t="s">
        <v>26</v>
      </c>
      <c r="E812" s="1" t="s">
        <v>60</v>
      </c>
      <c r="F812" s="1" t="s">
        <v>68</v>
      </c>
      <c r="G812" s="1" t="s">
        <v>870</v>
      </c>
      <c r="H812">
        <v>811</v>
      </c>
      <c r="I812" s="1" t="s">
        <v>36</v>
      </c>
      <c r="J812" s="1" t="s">
        <v>48</v>
      </c>
      <c r="K812" s="1" t="s">
        <v>50</v>
      </c>
      <c r="L812" s="1" t="s">
        <v>23</v>
      </c>
      <c r="M812">
        <v>32</v>
      </c>
      <c r="N812">
        <v>116754</v>
      </c>
      <c r="O812">
        <v>1</v>
      </c>
      <c r="P812">
        <v>3</v>
      </c>
      <c r="Q812">
        <v>11</v>
      </c>
      <c r="R812">
        <v>14</v>
      </c>
      <c r="S812">
        <v>2</v>
      </c>
      <c r="T812">
        <v>4</v>
      </c>
      <c r="U812">
        <v>3</v>
      </c>
      <c r="V812">
        <v>23</v>
      </c>
      <c r="W812">
        <v>4</v>
      </c>
    </row>
    <row r="813" spans="1:23" x14ac:dyDescent="0.25">
      <c r="A813" s="1" t="s">
        <v>23</v>
      </c>
      <c r="B813" s="1" t="s">
        <v>24</v>
      </c>
      <c r="C813" s="1" t="s">
        <v>65</v>
      </c>
      <c r="D813" s="1" t="s">
        <v>26</v>
      </c>
      <c r="E813" s="1" t="s">
        <v>60</v>
      </c>
      <c r="F813" s="1" t="s">
        <v>28</v>
      </c>
      <c r="G813" s="1" t="s">
        <v>871</v>
      </c>
      <c r="H813">
        <v>812</v>
      </c>
      <c r="I813" s="1" t="s">
        <v>30</v>
      </c>
      <c r="J813" s="1" t="s">
        <v>70</v>
      </c>
      <c r="K813" s="1" t="s">
        <v>32</v>
      </c>
      <c r="L813" s="1" t="s">
        <v>33</v>
      </c>
      <c r="M813">
        <v>49</v>
      </c>
      <c r="N813">
        <v>148061</v>
      </c>
      <c r="O813">
        <v>3</v>
      </c>
      <c r="P813">
        <v>4</v>
      </c>
      <c r="Q813">
        <v>1</v>
      </c>
      <c r="R813">
        <v>33</v>
      </c>
      <c r="S813">
        <v>5</v>
      </c>
      <c r="T813">
        <v>3</v>
      </c>
      <c r="U813">
        <v>3</v>
      </c>
      <c r="V813">
        <v>14</v>
      </c>
      <c r="W813">
        <v>4</v>
      </c>
    </row>
    <row r="814" spans="1:23" x14ac:dyDescent="0.25">
      <c r="A814" s="1" t="s">
        <v>23</v>
      </c>
      <c r="B814" s="1" t="s">
        <v>44</v>
      </c>
      <c r="C814" s="1" t="s">
        <v>34</v>
      </c>
      <c r="D814" s="1" t="s">
        <v>26</v>
      </c>
      <c r="E814" s="1" t="s">
        <v>46</v>
      </c>
      <c r="F814" s="1" t="s">
        <v>66</v>
      </c>
      <c r="G814" s="1" t="s">
        <v>872</v>
      </c>
      <c r="H814">
        <v>813</v>
      </c>
      <c r="I814" s="1" t="s">
        <v>30</v>
      </c>
      <c r="J814" s="1" t="s">
        <v>31</v>
      </c>
      <c r="K814" s="1" t="s">
        <v>38</v>
      </c>
      <c r="L814" s="1" t="s">
        <v>23</v>
      </c>
      <c r="M814">
        <v>51</v>
      </c>
      <c r="N814">
        <v>123205</v>
      </c>
      <c r="O814">
        <v>2</v>
      </c>
      <c r="P814">
        <v>2</v>
      </c>
      <c r="Q814">
        <v>7</v>
      </c>
      <c r="R814">
        <v>1</v>
      </c>
      <c r="S814">
        <v>1</v>
      </c>
      <c r="T814">
        <v>1</v>
      </c>
      <c r="U814">
        <v>3</v>
      </c>
      <c r="V814">
        <v>22</v>
      </c>
      <c r="W814">
        <v>2</v>
      </c>
    </row>
    <row r="815" spans="1:23" x14ac:dyDescent="0.25">
      <c r="A815" s="1" t="s">
        <v>23</v>
      </c>
      <c r="B815" s="1" t="s">
        <v>54</v>
      </c>
      <c r="C815" s="1" t="s">
        <v>57</v>
      </c>
      <c r="D815" s="1" t="s">
        <v>26</v>
      </c>
      <c r="E815" s="1" t="s">
        <v>27</v>
      </c>
      <c r="F815" s="1" t="s">
        <v>46</v>
      </c>
      <c r="G815" s="1" t="s">
        <v>873</v>
      </c>
      <c r="H815">
        <v>814</v>
      </c>
      <c r="I815" s="1" t="s">
        <v>36</v>
      </c>
      <c r="J815" s="1" t="s">
        <v>31</v>
      </c>
      <c r="K815" s="1" t="s">
        <v>32</v>
      </c>
      <c r="L815" s="1" t="s">
        <v>33</v>
      </c>
      <c r="M815">
        <v>58</v>
      </c>
      <c r="N815">
        <v>126332</v>
      </c>
      <c r="O815">
        <v>1</v>
      </c>
      <c r="P815">
        <v>1</v>
      </c>
      <c r="Q815">
        <v>14</v>
      </c>
      <c r="R815">
        <v>12</v>
      </c>
      <c r="S815">
        <v>1</v>
      </c>
      <c r="T815">
        <v>3</v>
      </c>
      <c r="U815">
        <v>3</v>
      </c>
      <c r="V815">
        <v>24</v>
      </c>
      <c r="W815">
        <v>4</v>
      </c>
    </row>
    <row r="816" spans="1:23" x14ac:dyDescent="0.25">
      <c r="A816" s="1" t="s">
        <v>23</v>
      </c>
      <c r="B816" s="1" t="s">
        <v>24</v>
      </c>
      <c r="C816" s="1" t="s">
        <v>25</v>
      </c>
      <c r="D816" s="1" t="s">
        <v>26</v>
      </c>
      <c r="E816" s="1" t="s">
        <v>60</v>
      </c>
      <c r="F816" s="1" t="s">
        <v>41</v>
      </c>
      <c r="G816" s="1" t="s">
        <v>874</v>
      </c>
      <c r="H816">
        <v>815</v>
      </c>
      <c r="I816" s="1" t="s">
        <v>36</v>
      </c>
      <c r="J816" s="1" t="s">
        <v>43</v>
      </c>
      <c r="K816" s="1" t="s">
        <v>32</v>
      </c>
      <c r="L816" s="1" t="s">
        <v>33</v>
      </c>
      <c r="M816">
        <v>40</v>
      </c>
      <c r="N816">
        <v>53929</v>
      </c>
      <c r="O816">
        <v>3</v>
      </c>
      <c r="P816">
        <v>2</v>
      </c>
      <c r="Q816">
        <v>30</v>
      </c>
      <c r="R816">
        <v>13</v>
      </c>
      <c r="S816">
        <v>1</v>
      </c>
      <c r="T816">
        <v>4</v>
      </c>
      <c r="U816">
        <v>4</v>
      </c>
      <c r="V816">
        <v>16</v>
      </c>
      <c r="W816">
        <v>2</v>
      </c>
    </row>
    <row r="817" spans="1:23" x14ac:dyDescent="0.25">
      <c r="A817" s="1" t="s">
        <v>23</v>
      </c>
      <c r="B817" s="1" t="s">
        <v>54</v>
      </c>
      <c r="C817" s="1" t="s">
        <v>34</v>
      </c>
      <c r="D817" s="1" t="s">
        <v>26</v>
      </c>
      <c r="E817" s="1" t="s">
        <v>46</v>
      </c>
      <c r="F817" s="1" t="s">
        <v>41</v>
      </c>
      <c r="G817" s="1" t="s">
        <v>875</v>
      </c>
      <c r="H817">
        <v>816</v>
      </c>
      <c r="I817" s="1" t="s">
        <v>30</v>
      </c>
      <c r="J817" s="1" t="s">
        <v>70</v>
      </c>
      <c r="K817" s="1" t="s">
        <v>32</v>
      </c>
      <c r="L817" s="1" t="s">
        <v>33</v>
      </c>
      <c r="M817">
        <v>53</v>
      </c>
      <c r="N817">
        <v>56116</v>
      </c>
      <c r="O817">
        <v>1</v>
      </c>
      <c r="P817">
        <v>4</v>
      </c>
      <c r="Q817">
        <v>32</v>
      </c>
      <c r="R817">
        <v>4</v>
      </c>
      <c r="S817">
        <v>4</v>
      </c>
      <c r="T817">
        <v>2</v>
      </c>
      <c r="U817">
        <v>3</v>
      </c>
      <c r="V817">
        <v>21</v>
      </c>
      <c r="W817">
        <v>4</v>
      </c>
    </row>
    <row r="818" spans="1:23" x14ac:dyDescent="0.25">
      <c r="A818" s="1" t="s">
        <v>23</v>
      </c>
      <c r="B818" s="1" t="s">
        <v>44</v>
      </c>
      <c r="C818" s="1" t="s">
        <v>34</v>
      </c>
      <c r="D818" s="1" t="s">
        <v>26</v>
      </c>
      <c r="E818" s="1" t="s">
        <v>55</v>
      </c>
      <c r="F818" s="1" t="s">
        <v>68</v>
      </c>
      <c r="G818" s="1" t="s">
        <v>876</v>
      </c>
      <c r="H818">
        <v>817</v>
      </c>
      <c r="I818" s="1" t="s">
        <v>30</v>
      </c>
      <c r="J818" s="1" t="s">
        <v>41</v>
      </c>
      <c r="K818" s="1" t="s">
        <v>50</v>
      </c>
      <c r="L818" s="1" t="s">
        <v>23</v>
      </c>
      <c r="M818">
        <v>46</v>
      </c>
      <c r="N818">
        <v>25252</v>
      </c>
      <c r="O818">
        <v>2</v>
      </c>
      <c r="P818">
        <v>3</v>
      </c>
      <c r="Q818">
        <v>25</v>
      </c>
      <c r="R818">
        <v>28</v>
      </c>
      <c r="S818">
        <v>4</v>
      </c>
      <c r="T818">
        <v>2</v>
      </c>
      <c r="U818">
        <v>3</v>
      </c>
      <c r="V818">
        <v>16</v>
      </c>
      <c r="W818">
        <v>5</v>
      </c>
    </row>
    <row r="819" spans="1:23" x14ac:dyDescent="0.25">
      <c r="A819" s="1" t="s">
        <v>33</v>
      </c>
      <c r="B819" s="1" t="s">
        <v>54</v>
      </c>
      <c r="C819" s="1" t="s">
        <v>39</v>
      </c>
      <c r="D819" s="1" t="s">
        <v>73</v>
      </c>
      <c r="E819" s="1" t="s">
        <v>40</v>
      </c>
      <c r="F819" s="1" t="s">
        <v>52</v>
      </c>
      <c r="G819" s="1" t="s">
        <v>877</v>
      </c>
      <c r="H819">
        <v>818</v>
      </c>
      <c r="I819" s="1" t="s">
        <v>30</v>
      </c>
      <c r="J819" s="1" t="s">
        <v>48</v>
      </c>
      <c r="K819" s="1" t="s">
        <v>32</v>
      </c>
      <c r="L819" s="1" t="s">
        <v>23</v>
      </c>
      <c r="M819">
        <v>52</v>
      </c>
      <c r="N819">
        <v>37675</v>
      </c>
      <c r="O819">
        <v>4</v>
      </c>
      <c r="P819">
        <v>1</v>
      </c>
      <c r="Q819">
        <v>26</v>
      </c>
      <c r="R819">
        <v>4</v>
      </c>
      <c r="S819">
        <v>4</v>
      </c>
      <c r="T819">
        <v>1</v>
      </c>
      <c r="U819">
        <v>3</v>
      </c>
      <c r="V819">
        <v>25</v>
      </c>
      <c r="W819">
        <v>1</v>
      </c>
    </row>
    <row r="820" spans="1:23" x14ac:dyDescent="0.25">
      <c r="A820" s="1" t="s">
        <v>23</v>
      </c>
      <c r="B820" s="1" t="s">
        <v>54</v>
      </c>
      <c r="C820" s="1" t="s">
        <v>34</v>
      </c>
      <c r="D820" s="1" t="s">
        <v>26</v>
      </c>
      <c r="E820" s="1" t="s">
        <v>40</v>
      </c>
      <c r="F820" s="1" t="s">
        <v>46</v>
      </c>
      <c r="G820" s="1" t="s">
        <v>878</v>
      </c>
      <c r="H820">
        <v>819</v>
      </c>
      <c r="I820" s="1" t="s">
        <v>36</v>
      </c>
      <c r="J820" s="1" t="s">
        <v>59</v>
      </c>
      <c r="K820" s="1" t="s">
        <v>32</v>
      </c>
      <c r="L820" s="1" t="s">
        <v>23</v>
      </c>
      <c r="M820">
        <v>40</v>
      </c>
      <c r="N820">
        <v>141184</v>
      </c>
      <c r="O820">
        <v>4</v>
      </c>
      <c r="P820">
        <v>4</v>
      </c>
      <c r="Q820">
        <v>37</v>
      </c>
      <c r="R820">
        <v>35</v>
      </c>
      <c r="S820">
        <v>5</v>
      </c>
      <c r="T820">
        <v>2</v>
      </c>
      <c r="U820">
        <v>4</v>
      </c>
      <c r="V820">
        <v>11</v>
      </c>
      <c r="W820">
        <v>1</v>
      </c>
    </row>
    <row r="821" spans="1:23" x14ac:dyDescent="0.25">
      <c r="A821" s="1" t="s">
        <v>23</v>
      </c>
      <c r="B821" s="1" t="s">
        <v>54</v>
      </c>
      <c r="C821" s="1" t="s">
        <v>57</v>
      </c>
      <c r="D821" s="1" t="s">
        <v>26</v>
      </c>
      <c r="E821" s="1" t="s">
        <v>51</v>
      </c>
      <c r="F821" s="1" t="s">
        <v>41</v>
      </c>
      <c r="G821" s="1" t="s">
        <v>879</v>
      </c>
      <c r="H821">
        <v>820</v>
      </c>
      <c r="I821" s="1" t="s">
        <v>30</v>
      </c>
      <c r="J821" s="1" t="s">
        <v>76</v>
      </c>
      <c r="K821" s="1" t="s">
        <v>32</v>
      </c>
      <c r="L821" s="1" t="s">
        <v>23</v>
      </c>
      <c r="M821">
        <v>38</v>
      </c>
      <c r="N821">
        <v>93745</v>
      </c>
      <c r="O821">
        <v>2</v>
      </c>
      <c r="P821">
        <v>3</v>
      </c>
      <c r="Q821">
        <v>20</v>
      </c>
      <c r="R821">
        <v>15</v>
      </c>
      <c r="S821">
        <v>4</v>
      </c>
      <c r="T821">
        <v>2</v>
      </c>
      <c r="U821">
        <v>4</v>
      </c>
      <c r="V821">
        <v>10</v>
      </c>
      <c r="W821">
        <v>2</v>
      </c>
    </row>
    <row r="822" spans="1:23" x14ac:dyDescent="0.25">
      <c r="A822" s="1" t="s">
        <v>23</v>
      </c>
      <c r="B822" s="1" t="s">
        <v>44</v>
      </c>
      <c r="C822" s="1" t="s">
        <v>39</v>
      </c>
      <c r="D822" s="1" t="s">
        <v>26</v>
      </c>
      <c r="E822" s="1" t="s">
        <v>40</v>
      </c>
      <c r="F822" s="1" t="s">
        <v>46</v>
      </c>
      <c r="G822" s="1" t="s">
        <v>880</v>
      </c>
      <c r="H822">
        <v>821</v>
      </c>
      <c r="I822" s="1" t="s">
        <v>36</v>
      </c>
      <c r="J822" s="1" t="s">
        <v>48</v>
      </c>
      <c r="K822" s="1" t="s">
        <v>32</v>
      </c>
      <c r="L822" s="1" t="s">
        <v>33</v>
      </c>
      <c r="M822">
        <v>39</v>
      </c>
      <c r="N822">
        <v>67798</v>
      </c>
      <c r="O822">
        <v>3</v>
      </c>
      <c r="P822">
        <v>3</v>
      </c>
      <c r="Q822">
        <v>13</v>
      </c>
      <c r="R822">
        <v>29</v>
      </c>
      <c r="S822">
        <v>4</v>
      </c>
      <c r="T822">
        <v>2</v>
      </c>
      <c r="U822">
        <v>3</v>
      </c>
      <c r="V822">
        <v>24</v>
      </c>
      <c r="W822">
        <v>3</v>
      </c>
    </row>
    <row r="823" spans="1:23" x14ac:dyDescent="0.25">
      <c r="A823" s="1" t="s">
        <v>23</v>
      </c>
      <c r="B823" s="1" t="s">
        <v>44</v>
      </c>
      <c r="C823" s="1" t="s">
        <v>34</v>
      </c>
      <c r="D823" s="1" t="s">
        <v>26</v>
      </c>
      <c r="E823" s="1" t="s">
        <v>46</v>
      </c>
      <c r="F823" s="1" t="s">
        <v>28</v>
      </c>
      <c r="G823" s="1" t="s">
        <v>881</v>
      </c>
      <c r="H823">
        <v>822</v>
      </c>
      <c r="I823" s="1" t="s">
        <v>36</v>
      </c>
      <c r="J823" s="1" t="s">
        <v>37</v>
      </c>
      <c r="K823" s="1" t="s">
        <v>50</v>
      </c>
      <c r="L823" s="1" t="s">
        <v>23</v>
      </c>
      <c r="M823">
        <v>51</v>
      </c>
      <c r="N823">
        <v>88972</v>
      </c>
      <c r="O823">
        <v>4</v>
      </c>
      <c r="P823">
        <v>3</v>
      </c>
      <c r="Q823">
        <v>9</v>
      </c>
      <c r="R823">
        <v>16</v>
      </c>
      <c r="S823">
        <v>4</v>
      </c>
      <c r="T823">
        <v>1</v>
      </c>
      <c r="U823">
        <v>4</v>
      </c>
      <c r="V823">
        <v>4</v>
      </c>
      <c r="W823">
        <v>4</v>
      </c>
    </row>
    <row r="824" spans="1:23" x14ac:dyDescent="0.25">
      <c r="A824" s="1" t="s">
        <v>23</v>
      </c>
      <c r="B824" s="1" t="s">
        <v>24</v>
      </c>
      <c r="C824" s="1" t="s">
        <v>57</v>
      </c>
      <c r="D824" s="1" t="s">
        <v>26</v>
      </c>
      <c r="E824" s="1" t="s">
        <v>60</v>
      </c>
      <c r="F824" s="1" t="s">
        <v>28</v>
      </c>
      <c r="G824" s="1" t="s">
        <v>882</v>
      </c>
      <c r="H824">
        <v>823</v>
      </c>
      <c r="I824" s="1" t="s">
        <v>36</v>
      </c>
      <c r="J824" s="1" t="s">
        <v>86</v>
      </c>
      <c r="K824" s="1" t="s">
        <v>38</v>
      </c>
      <c r="L824" s="1" t="s">
        <v>23</v>
      </c>
      <c r="M824">
        <v>53</v>
      </c>
      <c r="N824">
        <v>166754</v>
      </c>
      <c r="O824">
        <v>4</v>
      </c>
      <c r="P824">
        <v>2</v>
      </c>
      <c r="Q824">
        <v>17</v>
      </c>
      <c r="R824">
        <v>3</v>
      </c>
      <c r="S824">
        <v>3</v>
      </c>
      <c r="T824">
        <v>4</v>
      </c>
      <c r="U824">
        <v>3</v>
      </c>
      <c r="V824">
        <v>16</v>
      </c>
      <c r="W824">
        <v>4</v>
      </c>
    </row>
    <row r="825" spans="1:23" x14ac:dyDescent="0.25">
      <c r="A825" s="1" t="s">
        <v>23</v>
      </c>
      <c r="B825" s="1" t="s">
        <v>24</v>
      </c>
      <c r="C825" s="1" t="s">
        <v>34</v>
      </c>
      <c r="D825" s="1" t="s">
        <v>26</v>
      </c>
      <c r="E825" s="1" t="s">
        <v>55</v>
      </c>
      <c r="F825" s="1" t="s">
        <v>46</v>
      </c>
      <c r="G825" s="1" t="s">
        <v>883</v>
      </c>
      <c r="H825">
        <v>824</v>
      </c>
      <c r="I825" s="1" t="s">
        <v>30</v>
      </c>
      <c r="J825" s="1" t="s">
        <v>64</v>
      </c>
      <c r="K825" s="1" t="s">
        <v>50</v>
      </c>
      <c r="L825" s="1" t="s">
        <v>23</v>
      </c>
      <c r="M825">
        <v>27</v>
      </c>
      <c r="N825">
        <v>161783</v>
      </c>
      <c r="O825">
        <v>3</v>
      </c>
      <c r="P825">
        <v>2</v>
      </c>
      <c r="Q825">
        <v>6</v>
      </c>
      <c r="R825">
        <v>27</v>
      </c>
      <c r="S825">
        <v>1</v>
      </c>
      <c r="T825">
        <v>1</v>
      </c>
      <c r="U825">
        <v>3</v>
      </c>
      <c r="V825">
        <v>1</v>
      </c>
      <c r="W825">
        <v>1</v>
      </c>
    </row>
    <row r="826" spans="1:23" x14ac:dyDescent="0.25">
      <c r="A826" s="1" t="s">
        <v>23</v>
      </c>
      <c r="B826" s="1" t="s">
        <v>44</v>
      </c>
      <c r="C826" s="1" t="s">
        <v>39</v>
      </c>
      <c r="D826" s="1" t="s">
        <v>26</v>
      </c>
      <c r="E826" s="1" t="s">
        <v>27</v>
      </c>
      <c r="F826" s="1" t="s">
        <v>68</v>
      </c>
      <c r="G826" s="1" t="s">
        <v>884</v>
      </c>
      <c r="H826">
        <v>825</v>
      </c>
      <c r="I826" s="1" t="s">
        <v>30</v>
      </c>
      <c r="J826" s="1" t="s">
        <v>48</v>
      </c>
      <c r="K826" s="1" t="s">
        <v>50</v>
      </c>
      <c r="L826" s="1" t="s">
        <v>23</v>
      </c>
      <c r="M826">
        <v>56</v>
      </c>
      <c r="N826">
        <v>110681</v>
      </c>
      <c r="O826">
        <v>2</v>
      </c>
      <c r="P826">
        <v>2</v>
      </c>
      <c r="Q826">
        <v>1</v>
      </c>
      <c r="R826">
        <v>35</v>
      </c>
      <c r="S826">
        <v>4</v>
      </c>
      <c r="T826">
        <v>3</v>
      </c>
      <c r="U826">
        <v>3</v>
      </c>
      <c r="V826">
        <v>6</v>
      </c>
      <c r="W826">
        <v>4</v>
      </c>
    </row>
    <row r="827" spans="1:23" x14ac:dyDescent="0.25">
      <c r="A827" s="1" t="s">
        <v>23</v>
      </c>
      <c r="B827" s="1" t="s">
        <v>24</v>
      </c>
      <c r="C827" s="1" t="s">
        <v>39</v>
      </c>
      <c r="D827" s="1" t="s">
        <v>26</v>
      </c>
      <c r="E827" s="1" t="s">
        <v>55</v>
      </c>
      <c r="F827" s="1" t="s">
        <v>41</v>
      </c>
      <c r="G827" s="1" t="s">
        <v>885</v>
      </c>
      <c r="H827">
        <v>826</v>
      </c>
      <c r="I827" s="1" t="s">
        <v>36</v>
      </c>
      <c r="J827" s="1" t="s">
        <v>86</v>
      </c>
      <c r="K827" s="1" t="s">
        <v>50</v>
      </c>
      <c r="L827" s="1" t="s">
        <v>33</v>
      </c>
      <c r="M827">
        <v>36</v>
      </c>
      <c r="N827">
        <v>124535</v>
      </c>
      <c r="O827">
        <v>2</v>
      </c>
      <c r="P827">
        <v>2</v>
      </c>
      <c r="Q827">
        <v>29</v>
      </c>
      <c r="R827">
        <v>39</v>
      </c>
      <c r="S827">
        <v>1</v>
      </c>
      <c r="T827">
        <v>2</v>
      </c>
      <c r="U827">
        <v>3</v>
      </c>
      <c r="V827">
        <v>9</v>
      </c>
      <c r="W827">
        <v>1</v>
      </c>
    </row>
    <row r="828" spans="1:23" x14ac:dyDescent="0.25">
      <c r="A828" s="1" t="s">
        <v>23</v>
      </c>
      <c r="B828" s="1" t="s">
        <v>54</v>
      </c>
      <c r="C828" s="1" t="s">
        <v>39</v>
      </c>
      <c r="D828" s="1" t="s">
        <v>26</v>
      </c>
      <c r="E828" s="1" t="s">
        <v>40</v>
      </c>
      <c r="F828" s="1" t="s">
        <v>41</v>
      </c>
      <c r="G828" s="1" t="s">
        <v>886</v>
      </c>
      <c r="H828">
        <v>827</v>
      </c>
      <c r="I828" s="1" t="s">
        <v>36</v>
      </c>
      <c r="J828" s="1" t="s">
        <v>86</v>
      </c>
      <c r="K828" s="1" t="s">
        <v>50</v>
      </c>
      <c r="L828" s="1" t="s">
        <v>33</v>
      </c>
      <c r="M828">
        <v>27</v>
      </c>
      <c r="N828">
        <v>39495</v>
      </c>
      <c r="O828">
        <v>4</v>
      </c>
      <c r="P828">
        <v>4</v>
      </c>
      <c r="Q828">
        <v>28</v>
      </c>
      <c r="R828">
        <v>9</v>
      </c>
      <c r="S828">
        <v>5</v>
      </c>
      <c r="T828">
        <v>4</v>
      </c>
      <c r="U828">
        <v>4</v>
      </c>
      <c r="V828">
        <v>1</v>
      </c>
      <c r="W828">
        <v>5</v>
      </c>
    </row>
    <row r="829" spans="1:23" x14ac:dyDescent="0.25">
      <c r="A829" s="1" t="s">
        <v>23</v>
      </c>
      <c r="B829" s="1" t="s">
        <v>44</v>
      </c>
      <c r="C829" s="1" t="s">
        <v>34</v>
      </c>
      <c r="D829" s="1" t="s">
        <v>26</v>
      </c>
      <c r="E829" s="1" t="s">
        <v>46</v>
      </c>
      <c r="F829" s="1" t="s">
        <v>68</v>
      </c>
      <c r="G829" s="1" t="s">
        <v>887</v>
      </c>
      <c r="H829">
        <v>828</v>
      </c>
      <c r="I829" s="1" t="s">
        <v>36</v>
      </c>
      <c r="J829" s="1" t="s">
        <v>37</v>
      </c>
      <c r="K829" s="1" t="s">
        <v>50</v>
      </c>
      <c r="L829" s="1" t="s">
        <v>23</v>
      </c>
      <c r="M829">
        <v>53</v>
      </c>
      <c r="N829">
        <v>179385</v>
      </c>
      <c r="O829">
        <v>4</v>
      </c>
      <c r="P829">
        <v>4</v>
      </c>
      <c r="Q829">
        <v>38</v>
      </c>
      <c r="R829">
        <v>13</v>
      </c>
      <c r="S829">
        <v>2</v>
      </c>
      <c r="T829">
        <v>2</v>
      </c>
      <c r="U829">
        <v>3</v>
      </c>
      <c r="V829">
        <v>20</v>
      </c>
      <c r="W829">
        <v>4</v>
      </c>
    </row>
    <row r="830" spans="1:23" x14ac:dyDescent="0.25">
      <c r="A830" s="1" t="s">
        <v>23</v>
      </c>
      <c r="B830" s="1" t="s">
        <v>44</v>
      </c>
      <c r="C830" s="1" t="s">
        <v>34</v>
      </c>
      <c r="D830" s="1" t="s">
        <v>26</v>
      </c>
      <c r="E830" s="1" t="s">
        <v>55</v>
      </c>
      <c r="F830" s="1" t="s">
        <v>46</v>
      </c>
      <c r="G830" s="1" t="s">
        <v>888</v>
      </c>
      <c r="H830">
        <v>829</v>
      </c>
      <c r="I830" s="1" t="s">
        <v>36</v>
      </c>
      <c r="J830" s="1" t="s">
        <v>76</v>
      </c>
      <c r="K830" s="1" t="s">
        <v>50</v>
      </c>
      <c r="L830" s="1" t="s">
        <v>23</v>
      </c>
      <c r="M830">
        <v>35</v>
      </c>
      <c r="N830">
        <v>117468</v>
      </c>
      <c r="O830">
        <v>4</v>
      </c>
      <c r="P830">
        <v>1</v>
      </c>
      <c r="Q830">
        <v>36</v>
      </c>
      <c r="R830">
        <v>15</v>
      </c>
      <c r="S830">
        <v>5</v>
      </c>
      <c r="T830">
        <v>1</v>
      </c>
      <c r="U830">
        <v>4</v>
      </c>
      <c r="V830">
        <v>23</v>
      </c>
      <c r="W830">
        <v>1</v>
      </c>
    </row>
    <row r="831" spans="1:23" x14ac:dyDescent="0.25">
      <c r="A831" s="1" t="s">
        <v>23</v>
      </c>
      <c r="B831" s="1" t="s">
        <v>24</v>
      </c>
      <c r="C831" s="1" t="s">
        <v>34</v>
      </c>
      <c r="D831" s="1" t="s">
        <v>26</v>
      </c>
      <c r="E831" s="1" t="s">
        <v>40</v>
      </c>
      <c r="F831" s="1" t="s">
        <v>68</v>
      </c>
      <c r="G831" s="1" t="s">
        <v>889</v>
      </c>
      <c r="H831">
        <v>830</v>
      </c>
      <c r="I831" s="1" t="s">
        <v>36</v>
      </c>
      <c r="J831" s="1" t="s">
        <v>86</v>
      </c>
      <c r="K831" s="1" t="s">
        <v>38</v>
      </c>
      <c r="L831" s="1" t="s">
        <v>33</v>
      </c>
      <c r="M831">
        <v>48</v>
      </c>
      <c r="N831">
        <v>84827</v>
      </c>
      <c r="O831">
        <v>3</v>
      </c>
      <c r="P831">
        <v>2</v>
      </c>
      <c r="Q831">
        <v>17</v>
      </c>
      <c r="R831">
        <v>23</v>
      </c>
      <c r="S831">
        <v>2</v>
      </c>
      <c r="T831">
        <v>4</v>
      </c>
      <c r="U831">
        <v>3</v>
      </c>
      <c r="V831">
        <v>6</v>
      </c>
      <c r="W831">
        <v>2</v>
      </c>
    </row>
    <row r="832" spans="1:23" x14ac:dyDescent="0.25">
      <c r="A832" s="1" t="s">
        <v>33</v>
      </c>
      <c r="B832" s="1" t="s">
        <v>54</v>
      </c>
      <c r="C832" s="1" t="s">
        <v>39</v>
      </c>
      <c r="D832" s="1" t="s">
        <v>73</v>
      </c>
      <c r="E832" s="1" t="s">
        <v>51</v>
      </c>
      <c r="F832" s="1" t="s">
        <v>28</v>
      </c>
      <c r="G832" s="1" t="s">
        <v>890</v>
      </c>
      <c r="H832">
        <v>831</v>
      </c>
      <c r="I832" s="1" t="s">
        <v>30</v>
      </c>
      <c r="J832" s="1" t="s">
        <v>41</v>
      </c>
      <c r="K832" s="1" t="s">
        <v>38</v>
      </c>
      <c r="L832" s="1" t="s">
        <v>33</v>
      </c>
      <c r="M832">
        <v>35</v>
      </c>
      <c r="N832">
        <v>41585</v>
      </c>
      <c r="O832">
        <v>2</v>
      </c>
      <c r="P832">
        <v>1</v>
      </c>
      <c r="Q832">
        <v>39</v>
      </c>
      <c r="R832">
        <v>35</v>
      </c>
      <c r="S832">
        <v>0</v>
      </c>
      <c r="T832">
        <v>3</v>
      </c>
      <c r="U832">
        <v>3</v>
      </c>
      <c r="V832">
        <v>17</v>
      </c>
      <c r="W832">
        <v>3</v>
      </c>
    </row>
    <row r="833" spans="1:23" x14ac:dyDescent="0.25">
      <c r="A833" s="1" t="s">
        <v>23</v>
      </c>
      <c r="B833" s="1" t="s">
        <v>44</v>
      </c>
      <c r="C833" s="1" t="s">
        <v>34</v>
      </c>
      <c r="D833" s="1" t="s">
        <v>26</v>
      </c>
      <c r="E833" s="1" t="s">
        <v>40</v>
      </c>
      <c r="F833" s="1" t="s">
        <v>28</v>
      </c>
      <c r="G833" s="1" t="s">
        <v>891</v>
      </c>
      <c r="H833">
        <v>832</v>
      </c>
      <c r="I833" s="1" t="s">
        <v>30</v>
      </c>
      <c r="J833" s="1" t="s">
        <v>41</v>
      </c>
      <c r="K833" s="1" t="s">
        <v>38</v>
      </c>
      <c r="L833" s="1" t="s">
        <v>33</v>
      </c>
      <c r="M833">
        <v>54</v>
      </c>
      <c r="N833">
        <v>35505</v>
      </c>
      <c r="O833">
        <v>2</v>
      </c>
      <c r="P833">
        <v>1</v>
      </c>
      <c r="Q833">
        <v>39</v>
      </c>
      <c r="R833">
        <v>3</v>
      </c>
      <c r="S833">
        <v>4</v>
      </c>
      <c r="T833">
        <v>2</v>
      </c>
      <c r="U833">
        <v>4</v>
      </c>
      <c r="V833">
        <v>18</v>
      </c>
      <c r="W833">
        <v>4</v>
      </c>
    </row>
    <row r="834" spans="1:23" x14ac:dyDescent="0.25">
      <c r="A834" s="1" t="s">
        <v>33</v>
      </c>
      <c r="B834" s="1" t="s">
        <v>24</v>
      </c>
      <c r="C834" s="1" t="s">
        <v>65</v>
      </c>
      <c r="D834" s="1" t="s">
        <v>73</v>
      </c>
      <c r="E834" s="1" t="s">
        <v>55</v>
      </c>
      <c r="F834" s="1" t="s">
        <v>28</v>
      </c>
      <c r="G834" s="1" t="s">
        <v>892</v>
      </c>
      <c r="H834">
        <v>833</v>
      </c>
      <c r="I834" s="1" t="s">
        <v>30</v>
      </c>
      <c r="J834" s="1" t="s">
        <v>31</v>
      </c>
      <c r="K834" s="1" t="s">
        <v>50</v>
      </c>
      <c r="L834" s="1" t="s">
        <v>23</v>
      </c>
      <c r="M834">
        <v>32</v>
      </c>
      <c r="N834">
        <v>157972</v>
      </c>
      <c r="O834">
        <v>1</v>
      </c>
      <c r="P834">
        <v>4</v>
      </c>
      <c r="Q834">
        <v>35</v>
      </c>
      <c r="R834">
        <v>23</v>
      </c>
      <c r="S834">
        <v>5</v>
      </c>
      <c r="T834">
        <v>2</v>
      </c>
      <c r="U834">
        <v>3</v>
      </c>
      <c r="V834">
        <v>18</v>
      </c>
      <c r="W834">
        <v>2</v>
      </c>
    </row>
    <row r="835" spans="1:23" x14ac:dyDescent="0.25">
      <c r="A835" s="1" t="s">
        <v>23</v>
      </c>
      <c r="B835" s="1" t="s">
        <v>44</v>
      </c>
      <c r="C835" s="1" t="s">
        <v>25</v>
      </c>
      <c r="D835" s="1" t="s">
        <v>26</v>
      </c>
      <c r="E835" s="1" t="s">
        <v>55</v>
      </c>
      <c r="F835" s="1" t="s">
        <v>41</v>
      </c>
      <c r="G835" s="1" t="s">
        <v>893</v>
      </c>
      <c r="H835">
        <v>834</v>
      </c>
      <c r="I835" s="1" t="s">
        <v>30</v>
      </c>
      <c r="J835" s="1" t="s">
        <v>59</v>
      </c>
      <c r="K835" s="1" t="s">
        <v>32</v>
      </c>
      <c r="L835" s="1" t="s">
        <v>33</v>
      </c>
      <c r="M835">
        <v>46</v>
      </c>
      <c r="N835">
        <v>53376</v>
      </c>
      <c r="O835">
        <v>2</v>
      </c>
      <c r="P835">
        <v>1</v>
      </c>
      <c r="Q835">
        <v>30</v>
      </c>
      <c r="R835">
        <v>9</v>
      </c>
      <c r="S835">
        <v>6</v>
      </c>
      <c r="T835">
        <v>2</v>
      </c>
      <c r="U835">
        <v>3</v>
      </c>
      <c r="V835">
        <v>28</v>
      </c>
      <c r="W835">
        <v>5</v>
      </c>
    </row>
    <row r="836" spans="1:23" x14ac:dyDescent="0.25">
      <c r="A836" s="1" t="s">
        <v>23</v>
      </c>
      <c r="B836" s="1" t="s">
        <v>44</v>
      </c>
      <c r="C836" s="1" t="s">
        <v>39</v>
      </c>
      <c r="D836" s="1" t="s">
        <v>26</v>
      </c>
      <c r="E836" s="1" t="s">
        <v>27</v>
      </c>
      <c r="F836" s="1" t="s">
        <v>28</v>
      </c>
      <c r="G836" s="1" t="s">
        <v>894</v>
      </c>
      <c r="H836">
        <v>835</v>
      </c>
      <c r="I836" s="1" t="s">
        <v>36</v>
      </c>
      <c r="J836" s="1" t="s">
        <v>70</v>
      </c>
      <c r="K836" s="1" t="s">
        <v>32</v>
      </c>
      <c r="L836" s="1" t="s">
        <v>33</v>
      </c>
      <c r="M836">
        <v>36</v>
      </c>
      <c r="N836">
        <v>60490</v>
      </c>
      <c r="O836">
        <v>1</v>
      </c>
      <c r="P836">
        <v>1</v>
      </c>
      <c r="Q836">
        <v>24</v>
      </c>
      <c r="R836">
        <v>8</v>
      </c>
      <c r="S836">
        <v>0</v>
      </c>
      <c r="T836">
        <v>3</v>
      </c>
      <c r="U836">
        <v>4</v>
      </c>
      <c r="V836">
        <v>17</v>
      </c>
      <c r="W836">
        <v>4</v>
      </c>
    </row>
    <row r="837" spans="1:23" x14ac:dyDescent="0.25">
      <c r="A837" s="1" t="s">
        <v>23</v>
      </c>
      <c r="B837" s="1" t="s">
        <v>54</v>
      </c>
      <c r="C837" s="1" t="s">
        <v>34</v>
      </c>
      <c r="D837" s="1" t="s">
        <v>26</v>
      </c>
      <c r="E837" s="1" t="s">
        <v>51</v>
      </c>
      <c r="F837" s="1" t="s">
        <v>68</v>
      </c>
      <c r="G837" s="1" t="s">
        <v>895</v>
      </c>
      <c r="H837">
        <v>836</v>
      </c>
      <c r="I837" s="1" t="s">
        <v>36</v>
      </c>
      <c r="J837" s="1" t="s">
        <v>59</v>
      </c>
      <c r="K837" s="1" t="s">
        <v>38</v>
      </c>
      <c r="L837" s="1" t="s">
        <v>23</v>
      </c>
      <c r="M837">
        <v>37</v>
      </c>
      <c r="N837">
        <v>155224</v>
      </c>
      <c r="O837">
        <v>4</v>
      </c>
      <c r="P837">
        <v>2</v>
      </c>
      <c r="Q837">
        <v>32</v>
      </c>
      <c r="R837">
        <v>31</v>
      </c>
      <c r="S837">
        <v>1</v>
      </c>
      <c r="T837">
        <v>1</v>
      </c>
      <c r="U837">
        <v>3</v>
      </c>
      <c r="V837">
        <v>3</v>
      </c>
      <c r="W837">
        <v>5</v>
      </c>
    </row>
    <row r="838" spans="1:23" x14ac:dyDescent="0.25">
      <c r="A838" s="1" t="s">
        <v>33</v>
      </c>
      <c r="B838" s="1" t="s">
        <v>54</v>
      </c>
      <c r="C838" s="1" t="s">
        <v>65</v>
      </c>
      <c r="D838" s="1" t="s">
        <v>73</v>
      </c>
      <c r="E838" s="1" t="s">
        <v>60</v>
      </c>
      <c r="F838" s="1" t="s">
        <v>68</v>
      </c>
      <c r="G838" s="1" t="s">
        <v>896</v>
      </c>
      <c r="H838">
        <v>837</v>
      </c>
      <c r="I838" s="1" t="s">
        <v>36</v>
      </c>
      <c r="J838" s="1" t="s">
        <v>41</v>
      </c>
      <c r="K838" s="1" t="s">
        <v>38</v>
      </c>
      <c r="L838" s="1" t="s">
        <v>23</v>
      </c>
      <c r="M838">
        <v>22</v>
      </c>
      <c r="N838">
        <v>100456</v>
      </c>
      <c r="O838">
        <v>4</v>
      </c>
      <c r="P838">
        <v>2</v>
      </c>
      <c r="Q838">
        <v>1</v>
      </c>
      <c r="R838">
        <v>13</v>
      </c>
      <c r="S838">
        <v>3</v>
      </c>
      <c r="T838">
        <v>2</v>
      </c>
      <c r="U838">
        <v>4</v>
      </c>
      <c r="V838">
        <v>28</v>
      </c>
      <c r="W838">
        <v>5</v>
      </c>
    </row>
    <row r="839" spans="1:23" x14ac:dyDescent="0.25">
      <c r="A839" s="1" t="s">
        <v>23</v>
      </c>
      <c r="B839" s="1" t="s">
        <v>44</v>
      </c>
      <c r="C839" s="1" t="s">
        <v>39</v>
      </c>
      <c r="D839" s="1" t="s">
        <v>26</v>
      </c>
      <c r="E839" s="1" t="s">
        <v>46</v>
      </c>
      <c r="F839" s="1" t="s">
        <v>68</v>
      </c>
      <c r="G839" s="1" t="s">
        <v>897</v>
      </c>
      <c r="H839">
        <v>838</v>
      </c>
      <c r="I839" s="1" t="s">
        <v>30</v>
      </c>
      <c r="J839" s="1" t="s">
        <v>70</v>
      </c>
      <c r="K839" s="1" t="s">
        <v>50</v>
      </c>
      <c r="L839" s="1" t="s">
        <v>33</v>
      </c>
      <c r="M839">
        <v>49</v>
      </c>
      <c r="N839">
        <v>84301</v>
      </c>
      <c r="O839">
        <v>4</v>
      </c>
      <c r="P839">
        <v>4</v>
      </c>
      <c r="Q839">
        <v>29</v>
      </c>
      <c r="R839">
        <v>29</v>
      </c>
      <c r="S839">
        <v>2</v>
      </c>
      <c r="T839">
        <v>2</v>
      </c>
      <c r="U839">
        <v>4</v>
      </c>
      <c r="V839">
        <v>5</v>
      </c>
      <c r="W839">
        <v>4</v>
      </c>
    </row>
    <row r="840" spans="1:23" x14ac:dyDescent="0.25">
      <c r="A840" s="1" t="s">
        <v>33</v>
      </c>
      <c r="B840" s="1" t="s">
        <v>54</v>
      </c>
      <c r="C840" s="1" t="s">
        <v>34</v>
      </c>
      <c r="D840" s="1" t="s">
        <v>73</v>
      </c>
      <c r="E840" s="1" t="s">
        <v>55</v>
      </c>
      <c r="F840" s="1" t="s">
        <v>66</v>
      </c>
      <c r="G840" s="1" t="s">
        <v>898</v>
      </c>
      <c r="H840">
        <v>839</v>
      </c>
      <c r="I840" s="1" t="s">
        <v>36</v>
      </c>
      <c r="J840" s="1" t="s">
        <v>37</v>
      </c>
      <c r="K840" s="1" t="s">
        <v>50</v>
      </c>
      <c r="L840" s="1" t="s">
        <v>23</v>
      </c>
      <c r="M840">
        <v>50</v>
      </c>
      <c r="N840">
        <v>119333</v>
      </c>
      <c r="O840">
        <v>4</v>
      </c>
      <c r="P840">
        <v>1</v>
      </c>
      <c r="Q840">
        <v>38</v>
      </c>
      <c r="R840">
        <v>18</v>
      </c>
      <c r="S840">
        <v>2</v>
      </c>
      <c r="T840">
        <v>4</v>
      </c>
      <c r="U840">
        <v>3</v>
      </c>
      <c r="V840">
        <v>30</v>
      </c>
      <c r="W840">
        <v>4</v>
      </c>
    </row>
    <row r="841" spans="1:23" x14ac:dyDescent="0.25">
      <c r="A841" s="1" t="s">
        <v>23</v>
      </c>
      <c r="B841" s="1" t="s">
        <v>54</v>
      </c>
      <c r="C841" s="1" t="s">
        <v>34</v>
      </c>
      <c r="D841" s="1" t="s">
        <v>26</v>
      </c>
      <c r="E841" s="1" t="s">
        <v>27</v>
      </c>
      <c r="F841" s="1" t="s">
        <v>28</v>
      </c>
      <c r="G841" s="1" t="s">
        <v>899</v>
      </c>
      <c r="H841">
        <v>840</v>
      </c>
      <c r="I841" s="1" t="s">
        <v>30</v>
      </c>
      <c r="J841" s="1" t="s">
        <v>31</v>
      </c>
      <c r="K841" s="1" t="s">
        <v>50</v>
      </c>
      <c r="L841" s="1" t="s">
        <v>23</v>
      </c>
      <c r="M841">
        <v>24</v>
      </c>
      <c r="N841">
        <v>24470</v>
      </c>
      <c r="O841">
        <v>2</v>
      </c>
      <c r="P841">
        <v>3</v>
      </c>
      <c r="Q841">
        <v>1</v>
      </c>
      <c r="R841">
        <v>28</v>
      </c>
      <c r="S841">
        <v>3</v>
      </c>
      <c r="T841">
        <v>3</v>
      </c>
      <c r="U841">
        <v>4</v>
      </c>
      <c r="V841">
        <v>12</v>
      </c>
      <c r="W841">
        <v>5</v>
      </c>
    </row>
    <row r="842" spans="1:23" x14ac:dyDescent="0.25">
      <c r="A842" s="1" t="s">
        <v>23</v>
      </c>
      <c r="B842" s="1" t="s">
        <v>54</v>
      </c>
      <c r="C842" s="1" t="s">
        <v>34</v>
      </c>
      <c r="D842" s="1" t="s">
        <v>26</v>
      </c>
      <c r="E842" s="1" t="s">
        <v>51</v>
      </c>
      <c r="F842" s="1" t="s">
        <v>66</v>
      </c>
      <c r="G842" s="1" t="s">
        <v>900</v>
      </c>
      <c r="H842">
        <v>841</v>
      </c>
      <c r="I842" s="1" t="s">
        <v>36</v>
      </c>
      <c r="J842" s="1" t="s">
        <v>86</v>
      </c>
      <c r="K842" s="1" t="s">
        <v>38</v>
      </c>
      <c r="L842" s="1" t="s">
        <v>33</v>
      </c>
      <c r="M842">
        <v>56</v>
      </c>
      <c r="N842">
        <v>166465</v>
      </c>
      <c r="O842">
        <v>1</v>
      </c>
      <c r="P842">
        <v>2</v>
      </c>
      <c r="Q842">
        <v>24</v>
      </c>
      <c r="R842">
        <v>21</v>
      </c>
      <c r="S842">
        <v>5</v>
      </c>
      <c r="T842">
        <v>4</v>
      </c>
      <c r="U842">
        <v>4</v>
      </c>
      <c r="V842">
        <v>5</v>
      </c>
      <c r="W842">
        <v>2</v>
      </c>
    </row>
    <row r="843" spans="1:23" x14ac:dyDescent="0.25">
      <c r="A843" s="1" t="s">
        <v>23</v>
      </c>
      <c r="B843" s="1" t="s">
        <v>44</v>
      </c>
      <c r="C843" s="1" t="s">
        <v>34</v>
      </c>
      <c r="D843" s="1" t="s">
        <v>26</v>
      </c>
      <c r="E843" s="1" t="s">
        <v>51</v>
      </c>
      <c r="F843" s="1" t="s">
        <v>46</v>
      </c>
      <c r="G843" s="1" t="s">
        <v>901</v>
      </c>
      <c r="H843">
        <v>842</v>
      </c>
      <c r="I843" s="1" t="s">
        <v>36</v>
      </c>
      <c r="J843" s="1" t="s">
        <v>48</v>
      </c>
      <c r="K843" s="1" t="s">
        <v>50</v>
      </c>
      <c r="L843" s="1" t="s">
        <v>33</v>
      </c>
      <c r="M843">
        <v>40</v>
      </c>
      <c r="N843">
        <v>21175</v>
      </c>
      <c r="O843">
        <v>2</v>
      </c>
      <c r="P843">
        <v>2</v>
      </c>
      <c r="Q843">
        <v>26</v>
      </c>
      <c r="R843">
        <v>36</v>
      </c>
      <c r="S843">
        <v>1</v>
      </c>
      <c r="T843">
        <v>4</v>
      </c>
      <c r="U843">
        <v>3</v>
      </c>
      <c r="V843">
        <v>14</v>
      </c>
      <c r="W843">
        <v>5</v>
      </c>
    </row>
    <row r="844" spans="1:23" x14ac:dyDescent="0.25">
      <c r="A844" s="1" t="s">
        <v>23</v>
      </c>
      <c r="B844" s="1" t="s">
        <v>24</v>
      </c>
      <c r="C844" s="1" t="s">
        <v>57</v>
      </c>
      <c r="D844" s="1" t="s">
        <v>26</v>
      </c>
      <c r="E844" s="1" t="s">
        <v>55</v>
      </c>
      <c r="F844" s="1" t="s">
        <v>66</v>
      </c>
      <c r="G844" s="1" t="s">
        <v>902</v>
      </c>
      <c r="H844">
        <v>843</v>
      </c>
      <c r="I844" s="1" t="s">
        <v>30</v>
      </c>
      <c r="J844" s="1" t="s">
        <v>64</v>
      </c>
      <c r="K844" s="1" t="s">
        <v>38</v>
      </c>
      <c r="L844" s="1" t="s">
        <v>23</v>
      </c>
      <c r="M844">
        <v>25</v>
      </c>
      <c r="N844">
        <v>75434</v>
      </c>
      <c r="O844">
        <v>4</v>
      </c>
      <c r="P844">
        <v>2</v>
      </c>
      <c r="Q844">
        <v>31</v>
      </c>
      <c r="R844">
        <v>7</v>
      </c>
      <c r="S844">
        <v>0</v>
      </c>
      <c r="T844">
        <v>4</v>
      </c>
      <c r="U844">
        <v>4</v>
      </c>
      <c r="V844">
        <v>20</v>
      </c>
      <c r="W844">
        <v>3</v>
      </c>
    </row>
    <row r="845" spans="1:23" x14ac:dyDescent="0.25">
      <c r="A845" s="1" t="s">
        <v>33</v>
      </c>
      <c r="B845" s="1" t="s">
        <v>54</v>
      </c>
      <c r="C845" s="1" t="s">
        <v>57</v>
      </c>
      <c r="D845" s="1" t="s">
        <v>73</v>
      </c>
      <c r="E845" s="1" t="s">
        <v>27</v>
      </c>
      <c r="F845" s="1" t="s">
        <v>41</v>
      </c>
      <c r="G845" s="1" t="s">
        <v>903</v>
      </c>
      <c r="H845">
        <v>844</v>
      </c>
      <c r="I845" s="1" t="s">
        <v>36</v>
      </c>
      <c r="J845" s="1" t="s">
        <v>37</v>
      </c>
      <c r="K845" s="1" t="s">
        <v>32</v>
      </c>
      <c r="L845" s="1" t="s">
        <v>33</v>
      </c>
      <c r="M845">
        <v>58</v>
      </c>
      <c r="N845">
        <v>154327</v>
      </c>
      <c r="O845">
        <v>3</v>
      </c>
      <c r="P845">
        <v>2</v>
      </c>
      <c r="Q845">
        <v>14</v>
      </c>
      <c r="R845">
        <v>1</v>
      </c>
      <c r="S845">
        <v>3</v>
      </c>
      <c r="T845">
        <v>4</v>
      </c>
      <c r="U845">
        <v>4</v>
      </c>
      <c r="V845">
        <v>11</v>
      </c>
      <c r="W845">
        <v>5</v>
      </c>
    </row>
    <row r="846" spans="1:23" x14ac:dyDescent="0.25">
      <c r="A846" s="1" t="s">
        <v>23</v>
      </c>
      <c r="B846" s="1" t="s">
        <v>24</v>
      </c>
      <c r="C846" s="1" t="s">
        <v>57</v>
      </c>
      <c r="D846" s="1" t="s">
        <v>26</v>
      </c>
      <c r="E846" s="1" t="s">
        <v>40</v>
      </c>
      <c r="F846" s="1" t="s">
        <v>41</v>
      </c>
      <c r="G846" s="1" t="s">
        <v>904</v>
      </c>
      <c r="H846">
        <v>845</v>
      </c>
      <c r="I846" s="1" t="s">
        <v>36</v>
      </c>
      <c r="J846" s="1" t="s">
        <v>76</v>
      </c>
      <c r="K846" s="1" t="s">
        <v>50</v>
      </c>
      <c r="L846" s="1" t="s">
        <v>33</v>
      </c>
      <c r="M846">
        <v>56</v>
      </c>
      <c r="N846">
        <v>76622</v>
      </c>
      <c r="O846">
        <v>2</v>
      </c>
      <c r="P846">
        <v>2</v>
      </c>
      <c r="Q846">
        <v>29</v>
      </c>
      <c r="R846">
        <v>9</v>
      </c>
      <c r="S846">
        <v>0</v>
      </c>
      <c r="T846">
        <v>3</v>
      </c>
      <c r="U846">
        <v>4</v>
      </c>
      <c r="V846">
        <v>24</v>
      </c>
      <c r="W846">
        <v>4</v>
      </c>
    </row>
    <row r="847" spans="1:23" x14ac:dyDescent="0.25">
      <c r="A847" s="1" t="s">
        <v>23</v>
      </c>
      <c r="B847" s="1" t="s">
        <v>24</v>
      </c>
      <c r="C847" s="1" t="s">
        <v>34</v>
      </c>
      <c r="D847" s="1" t="s">
        <v>26</v>
      </c>
      <c r="E847" s="1" t="s">
        <v>60</v>
      </c>
      <c r="F847" s="1" t="s">
        <v>28</v>
      </c>
      <c r="G847" s="1" t="s">
        <v>905</v>
      </c>
      <c r="H847">
        <v>846</v>
      </c>
      <c r="I847" s="1" t="s">
        <v>36</v>
      </c>
      <c r="J847" s="1" t="s">
        <v>31</v>
      </c>
      <c r="K847" s="1" t="s">
        <v>38</v>
      </c>
      <c r="L847" s="1" t="s">
        <v>33</v>
      </c>
      <c r="M847">
        <v>48</v>
      </c>
      <c r="N847">
        <v>124410</v>
      </c>
      <c r="O847">
        <v>4</v>
      </c>
      <c r="P847">
        <v>2</v>
      </c>
      <c r="Q847">
        <v>26</v>
      </c>
      <c r="R847">
        <v>30</v>
      </c>
      <c r="S847">
        <v>0</v>
      </c>
      <c r="T847">
        <v>3</v>
      </c>
      <c r="U847">
        <v>4</v>
      </c>
      <c r="V847">
        <v>4</v>
      </c>
      <c r="W847">
        <v>3</v>
      </c>
    </row>
    <row r="848" spans="1:23" x14ac:dyDescent="0.25">
      <c r="A848" s="1" t="s">
        <v>23</v>
      </c>
      <c r="B848" s="1" t="s">
        <v>44</v>
      </c>
      <c r="C848" s="1" t="s">
        <v>65</v>
      </c>
      <c r="D848" s="1" t="s">
        <v>26</v>
      </c>
      <c r="E848" s="1" t="s">
        <v>40</v>
      </c>
      <c r="F848" s="1" t="s">
        <v>41</v>
      </c>
      <c r="G848" s="1" t="s">
        <v>906</v>
      </c>
      <c r="H848">
        <v>847</v>
      </c>
      <c r="I848" s="1" t="s">
        <v>30</v>
      </c>
      <c r="J848" s="1" t="s">
        <v>41</v>
      </c>
      <c r="K848" s="1" t="s">
        <v>38</v>
      </c>
      <c r="L848" s="1" t="s">
        <v>33</v>
      </c>
      <c r="M848">
        <v>39</v>
      </c>
      <c r="N848">
        <v>81762</v>
      </c>
      <c r="O848">
        <v>2</v>
      </c>
      <c r="P848">
        <v>3</v>
      </c>
      <c r="Q848">
        <v>10</v>
      </c>
      <c r="R848">
        <v>38</v>
      </c>
      <c r="S848">
        <v>2</v>
      </c>
      <c r="T848">
        <v>4</v>
      </c>
      <c r="U848">
        <v>3</v>
      </c>
      <c r="V848">
        <v>4</v>
      </c>
      <c r="W848">
        <v>1</v>
      </c>
    </row>
    <row r="849" spans="1:23" x14ac:dyDescent="0.25">
      <c r="A849" s="1" t="s">
        <v>23</v>
      </c>
      <c r="B849" s="1" t="s">
        <v>54</v>
      </c>
      <c r="C849" s="1" t="s">
        <v>39</v>
      </c>
      <c r="D849" s="1" t="s">
        <v>26</v>
      </c>
      <c r="E849" s="1" t="s">
        <v>55</v>
      </c>
      <c r="F849" s="1" t="s">
        <v>68</v>
      </c>
      <c r="G849" s="1" t="s">
        <v>907</v>
      </c>
      <c r="H849">
        <v>848</v>
      </c>
      <c r="I849" s="1" t="s">
        <v>36</v>
      </c>
      <c r="J849" s="1" t="s">
        <v>31</v>
      </c>
      <c r="K849" s="1" t="s">
        <v>32</v>
      </c>
      <c r="L849" s="1" t="s">
        <v>33</v>
      </c>
      <c r="M849">
        <v>24</v>
      </c>
      <c r="N849">
        <v>18547</v>
      </c>
      <c r="O849">
        <v>4</v>
      </c>
      <c r="P849">
        <v>2</v>
      </c>
      <c r="Q849">
        <v>2</v>
      </c>
      <c r="R849">
        <v>8</v>
      </c>
      <c r="S849">
        <v>2</v>
      </c>
      <c r="T849">
        <v>3</v>
      </c>
      <c r="U849">
        <v>4</v>
      </c>
      <c r="V849">
        <v>22</v>
      </c>
      <c r="W849">
        <v>5</v>
      </c>
    </row>
    <row r="850" spans="1:23" x14ac:dyDescent="0.25">
      <c r="A850" s="1" t="s">
        <v>23</v>
      </c>
      <c r="B850" s="1" t="s">
        <v>44</v>
      </c>
      <c r="C850" s="1" t="s">
        <v>34</v>
      </c>
      <c r="D850" s="1" t="s">
        <v>26</v>
      </c>
      <c r="E850" s="1" t="s">
        <v>27</v>
      </c>
      <c r="F850" s="1" t="s">
        <v>66</v>
      </c>
      <c r="G850" s="1" t="s">
        <v>908</v>
      </c>
      <c r="H850">
        <v>849</v>
      </c>
      <c r="I850" s="1" t="s">
        <v>30</v>
      </c>
      <c r="J850" s="1" t="s">
        <v>43</v>
      </c>
      <c r="K850" s="1" t="s">
        <v>50</v>
      </c>
      <c r="L850" s="1" t="s">
        <v>33</v>
      </c>
      <c r="M850">
        <v>60</v>
      </c>
      <c r="N850">
        <v>18055</v>
      </c>
      <c r="O850">
        <v>2</v>
      </c>
      <c r="P850">
        <v>2</v>
      </c>
      <c r="Q850">
        <v>25</v>
      </c>
      <c r="R850">
        <v>31</v>
      </c>
      <c r="S850">
        <v>0</v>
      </c>
      <c r="T850">
        <v>3</v>
      </c>
      <c r="U850">
        <v>4</v>
      </c>
      <c r="V850">
        <v>20</v>
      </c>
      <c r="W850">
        <v>5</v>
      </c>
    </row>
    <row r="851" spans="1:23" x14ac:dyDescent="0.25">
      <c r="A851" s="1" t="s">
        <v>23</v>
      </c>
      <c r="B851" s="1" t="s">
        <v>24</v>
      </c>
      <c r="C851" s="1" t="s">
        <v>39</v>
      </c>
      <c r="D851" s="1" t="s">
        <v>26</v>
      </c>
      <c r="E851" s="1" t="s">
        <v>55</v>
      </c>
      <c r="F851" s="1" t="s">
        <v>68</v>
      </c>
      <c r="G851" s="1" t="s">
        <v>909</v>
      </c>
      <c r="H851">
        <v>850</v>
      </c>
      <c r="I851" s="1" t="s">
        <v>36</v>
      </c>
      <c r="J851" s="1" t="s">
        <v>70</v>
      </c>
      <c r="K851" s="1" t="s">
        <v>32</v>
      </c>
      <c r="L851" s="1" t="s">
        <v>33</v>
      </c>
      <c r="M851">
        <v>52</v>
      </c>
      <c r="N851">
        <v>176986</v>
      </c>
      <c r="O851">
        <v>2</v>
      </c>
      <c r="P851">
        <v>3</v>
      </c>
      <c r="Q851">
        <v>2</v>
      </c>
      <c r="R851">
        <v>25</v>
      </c>
      <c r="S851">
        <v>6</v>
      </c>
      <c r="T851">
        <v>3</v>
      </c>
      <c r="U851">
        <v>3</v>
      </c>
      <c r="V851">
        <v>23</v>
      </c>
      <c r="W851">
        <v>4</v>
      </c>
    </row>
    <row r="852" spans="1:23" x14ac:dyDescent="0.25">
      <c r="A852" s="1" t="s">
        <v>23</v>
      </c>
      <c r="B852" s="1" t="s">
        <v>44</v>
      </c>
      <c r="C852" s="1" t="s">
        <v>34</v>
      </c>
      <c r="D852" s="1" t="s">
        <v>26</v>
      </c>
      <c r="E852" s="1" t="s">
        <v>51</v>
      </c>
      <c r="F852" s="1" t="s">
        <v>46</v>
      </c>
      <c r="G852" s="1" t="s">
        <v>910</v>
      </c>
      <c r="H852">
        <v>851</v>
      </c>
      <c r="I852" s="1" t="s">
        <v>36</v>
      </c>
      <c r="J852" s="1" t="s">
        <v>41</v>
      </c>
      <c r="K852" s="1" t="s">
        <v>50</v>
      </c>
      <c r="L852" s="1" t="s">
        <v>23</v>
      </c>
      <c r="M852">
        <v>41</v>
      </c>
      <c r="N852">
        <v>73193</v>
      </c>
      <c r="O852">
        <v>2</v>
      </c>
      <c r="P852">
        <v>4</v>
      </c>
      <c r="Q852">
        <v>9</v>
      </c>
      <c r="R852">
        <v>9</v>
      </c>
      <c r="S852">
        <v>0</v>
      </c>
      <c r="T852">
        <v>1</v>
      </c>
      <c r="U852">
        <v>3</v>
      </c>
      <c r="V852">
        <v>19</v>
      </c>
      <c r="W852">
        <v>1</v>
      </c>
    </row>
    <row r="853" spans="1:23" x14ac:dyDescent="0.25">
      <c r="A853" s="1" t="s">
        <v>23</v>
      </c>
      <c r="B853" s="1" t="s">
        <v>24</v>
      </c>
      <c r="C853" s="1" t="s">
        <v>57</v>
      </c>
      <c r="D853" s="1" t="s">
        <v>26</v>
      </c>
      <c r="E853" s="1" t="s">
        <v>55</v>
      </c>
      <c r="F853" s="1" t="s">
        <v>52</v>
      </c>
      <c r="G853" s="1" t="s">
        <v>911</v>
      </c>
      <c r="H853">
        <v>852</v>
      </c>
      <c r="I853" s="1" t="s">
        <v>30</v>
      </c>
      <c r="J853" s="1" t="s">
        <v>76</v>
      </c>
      <c r="K853" s="1" t="s">
        <v>38</v>
      </c>
      <c r="L853" s="1" t="s">
        <v>23</v>
      </c>
      <c r="M853">
        <v>58</v>
      </c>
      <c r="N853">
        <v>80719</v>
      </c>
      <c r="O853">
        <v>4</v>
      </c>
      <c r="P853">
        <v>4</v>
      </c>
      <c r="Q853">
        <v>26</v>
      </c>
      <c r="R853">
        <v>7</v>
      </c>
      <c r="S853">
        <v>5</v>
      </c>
      <c r="T853">
        <v>3</v>
      </c>
      <c r="U853">
        <v>3</v>
      </c>
      <c r="V853">
        <v>29</v>
      </c>
      <c r="W853">
        <v>4</v>
      </c>
    </row>
    <row r="854" spans="1:23" x14ac:dyDescent="0.25">
      <c r="A854" s="1" t="s">
        <v>23</v>
      </c>
      <c r="B854" s="1" t="s">
        <v>24</v>
      </c>
      <c r="C854" s="1" t="s">
        <v>34</v>
      </c>
      <c r="D854" s="1" t="s">
        <v>26</v>
      </c>
      <c r="E854" s="1" t="s">
        <v>40</v>
      </c>
      <c r="F854" s="1" t="s">
        <v>46</v>
      </c>
      <c r="G854" s="1" t="s">
        <v>912</v>
      </c>
      <c r="H854">
        <v>853</v>
      </c>
      <c r="I854" s="1" t="s">
        <v>30</v>
      </c>
      <c r="J854" s="1" t="s">
        <v>64</v>
      </c>
      <c r="K854" s="1" t="s">
        <v>50</v>
      </c>
      <c r="L854" s="1" t="s">
        <v>23</v>
      </c>
      <c r="M854">
        <v>45</v>
      </c>
      <c r="N854">
        <v>66906</v>
      </c>
      <c r="O854">
        <v>4</v>
      </c>
      <c r="P854">
        <v>4</v>
      </c>
      <c r="Q854">
        <v>25</v>
      </c>
      <c r="R854">
        <v>20</v>
      </c>
      <c r="S854">
        <v>3</v>
      </c>
      <c r="T854">
        <v>2</v>
      </c>
      <c r="U854">
        <v>4</v>
      </c>
      <c r="V854">
        <v>24</v>
      </c>
      <c r="W854">
        <v>4</v>
      </c>
    </row>
    <row r="855" spans="1:23" x14ac:dyDescent="0.25">
      <c r="A855" s="1" t="s">
        <v>23</v>
      </c>
      <c r="B855" s="1" t="s">
        <v>54</v>
      </c>
      <c r="C855" s="1" t="s">
        <v>57</v>
      </c>
      <c r="D855" s="1" t="s">
        <v>26</v>
      </c>
      <c r="E855" s="1" t="s">
        <v>51</v>
      </c>
      <c r="F855" s="1" t="s">
        <v>28</v>
      </c>
      <c r="G855" s="1" t="s">
        <v>913</v>
      </c>
      <c r="H855">
        <v>854</v>
      </c>
      <c r="I855" s="1" t="s">
        <v>30</v>
      </c>
      <c r="J855" s="1" t="s">
        <v>70</v>
      </c>
      <c r="K855" s="1" t="s">
        <v>38</v>
      </c>
      <c r="L855" s="1" t="s">
        <v>23</v>
      </c>
      <c r="M855">
        <v>26</v>
      </c>
      <c r="N855">
        <v>145636</v>
      </c>
      <c r="O855">
        <v>3</v>
      </c>
      <c r="P855">
        <v>2</v>
      </c>
      <c r="Q855">
        <v>2</v>
      </c>
      <c r="R855">
        <v>8</v>
      </c>
      <c r="S855">
        <v>1</v>
      </c>
      <c r="T855">
        <v>4</v>
      </c>
      <c r="U855">
        <v>4</v>
      </c>
      <c r="V855">
        <v>30</v>
      </c>
      <c r="W855">
        <v>2</v>
      </c>
    </row>
    <row r="856" spans="1:23" x14ac:dyDescent="0.25">
      <c r="A856" s="1" t="s">
        <v>23</v>
      </c>
      <c r="B856" s="1" t="s">
        <v>54</v>
      </c>
      <c r="C856" s="1" t="s">
        <v>34</v>
      </c>
      <c r="D856" s="1" t="s">
        <v>26</v>
      </c>
      <c r="E856" s="1" t="s">
        <v>60</v>
      </c>
      <c r="F856" s="1" t="s">
        <v>46</v>
      </c>
      <c r="G856" s="1" t="s">
        <v>914</v>
      </c>
      <c r="H856">
        <v>855</v>
      </c>
      <c r="I856" s="1" t="s">
        <v>36</v>
      </c>
      <c r="J856" s="1" t="s">
        <v>43</v>
      </c>
      <c r="K856" s="1" t="s">
        <v>38</v>
      </c>
      <c r="L856" s="1" t="s">
        <v>23</v>
      </c>
      <c r="M856">
        <v>21</v>
      </c>
      <c r="N856">
        <v>45419</v>
      </c>
      <c r="O856">
        <v>4</v>
      </c>
      <c r="P856">
        <v>2</v>
      </c>
      <c r="Q856">
        <v>13</v>
      </c>
      <c r="R856">
        <v>9</v>
      </c>
      <c r="S856">
        <v>2</v>
      </c>
      <c r="T856">
        <v>3</v>
      </c>
      <c r="U856">
        <v>4</v>
      </c>
      <c r="V856">
        <v>29</v>
      </c>
      <c r="W856">
        <v>5</v>
      </c>
    </row>
    <row r="857" spans="1:23" x14ac:dyDescent="0.25">
      <c r="A857" s="1" t="s">
        <v>33</v>
      </c>
      <c r="B857" s="1" t="s">
        <v>24</v>
      </c>
      <c r="C857" s="1" t="s">
        <v>39</v>
      </c>
      <c r="D857" s="1" t="s">
        <v>73</v>
      </c>
      <c r="E857" s="1" t="s">
        <v>51</v>
      </c>
      <c r="F857" s="1" t="s">
        <v>68</v>
      </c>
      <c r="G857" s="1" t="s">
        <v>915</v>
      </c>
      <c r="H857">
        <v>856</v>
      </c>
      <c r="I857" s="1" t="s">
        <v>30</v>
      </c>
      <c r="J857" s="1" t="s">
        <v>86</v>
      </c>
      <c r="K857" s="1" t="s">
        <v>32</v>
      </c>
      <c r="L857" s="1" t="s">
        <v>23</v>
      </c>
      <c r="M857">
        <v>55</v>
      </c>
      <c r="N857">
        <v>137652</v>
      </c>
      <c r="O857">
        <v>1</v>
      </c>
      <c r="P857">
        <v>3</v>
      </c>
      <c r="Q857">
        <v>21</v>
      </c>
      <c r="R857">
        <v>1</v>
      </c>
      <c r="S857">
        <v>3</v>
      </c>
      <c r="T857">
        <v>1</v>
      </c>
      <c r="U857">
        <v>4</v>
      </c>
      <c r="V857">
        <v>27</v>
      </c>
      <c r="W857">
        <v>4</v>
      </c>
    </row>
    <row r="858" spans="1:23" x14ac:dyDescent="0.25">
      <c r="A858" s="1" t="s">
        <v>33</v>
      </c>
      <c r="B858" s="1" t="s">
        <v>54</v>
      </c>
      <c r="C858" s="1" t="s">
        <v>65</v>
      </c>
      <c r="D858" s="1" t="s">
        <v>73</v>
      </c>
      <c r="E858" s="1" t="s">
        <v>51</v>
      </c>
      <c r="F858" s="1" t="s">
        <v>28</v>
      </c>
      <c r="G858" s="1" t="s">
        <v>916</v>
      </c>
      <c r="H858">
        <v>857</v>
      </c>
      <c r="I858" s="1" t="s">
        <v>36</v>
      </c>
      <c r="J858" s="1" t="s">
        <v>43</v>
      </c>
      <c r="K858" s="1" t="s">
        <v>50</v>
      </c>
      <c r="L858" s="1" t="s">
        <v>23</v>
      </c>
      <c r="M858">
        <v>37</v>
      </c>
      <c r="N858">
        <v>96717</v>
      </c>
      <c r="O858">
        <v>1</v>
      </c>
      <c r="P858">
        <v>2</v>
      </c>
      <c r="Q858">
        <v>37</v>
      </c>
      <c r="R858">
        <v>16</v>
      </c>
      <c r="S858">
        <v>3</v>
      </c>
      <c r="T858">
        <v>3</v>
      </c>
      <c r="U858">
        <v>3</v>
      </c>
      <c r="V858">
        <v>17</v>
      </c>
      <c r="W858">
        <v>2</v>
      </c>
    </row>
    <row r="859" spans="1:23" x14ac:dyDescent="0.25">
      <c r="A859" s="1" t="s">
        <v>23</v>
      </c>
      <c r="B859" s="1" t="s">
        <v>24</v>
      </c>
      <c r="C859" s="1" t="s">
        <v>57</v>
      </c>
      <c r="D859" s="1" t="s">
        <v>26</v>
      </c>
      <c r="E859" s="1" t="s">
        <v>40</v>
      </c>
      <c r="F859" s="1" t="s">
        <v>68</v>
      </c>
      <c r="G859" s="1" t="s">
        <v>917</v>
      </c>
      <c r="H859">
        <v>858</v>
      </c>
      <c r="I859" s="1" t="s">
        <v>30</v>
      </c>
      <c r="J859" s="1" t="s">
        <v>41</v>
      </c>
      <c r="K859" s="1" t="s">
        <v>50</v>
      </c>
      <c r="L859" s="1" t="s">
        <v>33</v>
      </c>
      <c r="M859">
        <v>38</v>
      </c>
      <c r="N859">
        <v>158314</v>
      </c>
      <c r="O859">
        <v>4</v>
      </c>
      <c r="P859">
        <v>1</v>
      </c>
      <c r="Q859">
        <v>32</v>
      </c>
      <c r="R859">
        <v>40</v>
      </c>
      <c r="S859">
        <v>6</v>
      </c>
      <c r="T859">
        <v>3</v>
      </c>
      <c r="U859">
        <v>3</v>
      </c>
      <c r="V859">
        <v>16</v>
      </c>
      <c r="W859">
        <v>5</v>
      </c>
    </row>
    <row r="860" spans="1:23" x14ac:dyDescent="0.25">
      <c r="A860" s="1" t="s">
        <v>23</v>
      </c>
      <c r="B860" s="1" t="s">
        <v>24</v>
      </c>
      <c r="C860" s="1" t="s">
        <v>39</v>
      </c>
      <c r="D860" s="1" t="s">
        <v>26</v>
      </c>
      <c r="E860" s="1" t="s">
        <v>27</v>
      </c>
      <c r="F860" s="1" t="s">
        <v>28</v>
      </c>
      <c r="G860" s="1" t="s">
        <v>918</v>
      </c>
      <c r="H860">
        <v>859</v>
      </c>
      <c r="I860" s="1" t="s">
        <v>36</v>
      </c>
      <c r="J860" s="1" t="s">
        <v>59</v>
      </c>
      <c r="K860" s="1" t="s">
        <v>32</v>
      </c>
      <c r="L860" s="1" t="s">
        <v>23</v>
      </c>
      <c r="M860">
        <v>32</v>
      </c>
      <c r="N860">
        <v>160885</v>
      </c>
      <c r="O860">
        <v>2</v>
      </c>
      <c r="P860">
        <v>1</v>
      </c>
      <c r="Q860">
        <v>27</v>
      </c>
      <c r="R860">
        <v>5</v>
      </c>
      <c r="S860">
        <v>2</v>
      </c>
      <c r="T860">
        <v>2</v>
      </c>
      <c r="U860">
        <v>4</v>
      </c>
      <c r="V860">
        <v>1</v>
      </c>
      <c r="W860">
        <v>1</v>
      </c>
    </row>
    <row r="861" spans="1:23" x14ac:dyDescent="0.25">
      <c r="A861" s="1" t="s">
        <v>23</v>
      </c>
      <c r="B861" s="1" t="s">
        <v>24</v>
      </c>
      <c r="C861" s="1" t="s">
        <v>39</v>
      </c>
      <c r="D861" s="1" t="s">
        <v>26</v>
      </c>
      <c r="E861" s="1" t="s">
        <v>27</v>
      </c>
      <c r="F861" s="1" t="s">
        <v>52</v>
      </c>
      <c r="G861" s="1" t="s">
        <v>919</v>
      </c>
      <c r="H861">
        <v>860</v>
      </c>
      <c r="I861" s="1" t="s">
        <v>36</v>
      </c>
      <c r="J861" s="1" t="s">
        <v>76</v>
      </c>
      <c r="K861" s="1" t="s">
        <v>38</v>
      </c>
      <c r="L861" s="1" t="s">
        <v>33</v>
      </c>
      <c r="M861">
        <v>48</v>
      </c>
      <c r="N861">
        <v>71501</v>
      </c>
      <c r="O861">
        <v>2</v>
      </c>
      <c r="P861">
        <v>3</v>
      </c>
      <c r="Q861">
        <v>6</v>
      </c>
      <c r="R861">
        <v>18</v>
      </c>
      <c r="S861">
        <v>2</v>
      </c>
      <c r="T861">
        <v>1</v>
      </c>
      <c r="U861">
        <v>3</v>
      </c>
      <c r="V861">
        <v>5</v>
      </c>
      <c r="W861">
        <v>1</v>
      </c>
    </row>
    <row r="862" spans="1:23" x14ac:dyDescent="0.25">
      <c r="A862" s="1" t="s">
        <v>33</v>
      </c>
      <c r="B862" s="1" t="s">
        <v>24</v>
      </c>
      <c r="C862" s="1" t="s">
        <v>25</v>
      </c>
      <c r="D862" s="1" t="s">
        <v>73</v>
      </c>
      <c r="E862" s="1" t="s">
        <v>55</v>
      </c>
      <c r="F862" s="1" t="s">
        <v>46</v>
      </c>
      <c r="G862" s="1" t="s">
        <v>920</v>
      </c>
      <c r="H862">
        <v>861</v>
      </c>
      <c r="I862" s="1" t="s">
        <v>30</v>
      </c>
      <c r="J862" s="1" t="s">
        <v>31</v>
      </c>
      <c r="K862" s="1" t="s">
        <v>38</v>
      </c>
      <c r="L862" s="1" t="s">
        <v>23</v>
      </c>
      <c r="M862">
        <v>28</v>
      </c>
      <c r="N862">
        <v>149193</v>
      </c>
      <c r="O862">
        <v>4</v>
      </c>
      <c r="P862">
        <v>1</v>
      </c>
      <c r="Q862">
        <v>30</v>
      </c>
      <c r="R862">
        <v>42</v>
      </c>
      <c r="S862">
        <v>4</v>
      </c>
      <c r="T862">
        <v>3</v>
      </c>
      <c r="U862">
        <v>3</v>
      </c>
      <c r="V862">
        <v>12</v>
      </c>
      <c r="W862">
        <v>1</v>
      </c>
    </row>
    <row r="863" spans="1:23" x14ac:dyDescent="0.25">
      <c r="A863" s="1" t="s">
        <v>23</v>
      </c>
      <c r="B863" s="1" t="s">
        <v>54</v>
      </c>
      <c r="C863" s="1" t="s">
        <v>34</v>
      </c>
      <c r="D863" s="1" t="s">
        <v>26</v>
      </c>
      <c r="E863" s="1" t="s">
        <v>55</v>
      </c>
      <c r="F863" s="1" t="s">
        <v>46</v>
      </c>
      <c r="G863" s="1" t="s">
        <v>921</v>
      </c>
      <c r="H863">
        <v>862</v>
      </c>
      <c r="I863" s="1" t="s">
        <v>30</v>
      </c>
      <c r="J863" s="1" t="s">
        <v>43</v>
      </c>
      <c r="K863" s="1" t="s">
        <v>50</v>
      </c>
      <c r="L863" s="1" t="s">
        <v>33</v>
      </c>
      <c r="M863">
        <v>31</v>
      </c>
      <c r="N863">
        <v>56223</v>
      </c>
      <c r="O863">
        <v>3</v>
      </c>
      <c r="P863">
        <v>2</v>
      </c>
      <c r="Q863">
        <v>33</v>
      </c>
      <c r="R863">
        <v>34</v>
      </c>
      <c r="S863">
        <v>1</v>
      </c>
      <c r="T863">
        <v>4</v>
      </c>
      <c r="U863">
        <v>4</v>
      </c>
      <c r="V863">
        <v>1</v>
      </c>
      <c r="W863">
        <v>3</v>
      </c>
    </row>
    <row r="864" spans="1:23" x14ac:dyDescent="0.25">
      <c r="A864" s="1" t="s">
        <v>33</v>
      </c>
      <c r="B864" s="1" t="s">
        <v>24</v>
      </c>
      <c r="C864" s="1" t="s">
        <v>65</v>
      </c>
      <c r="D864" s="1" t="s">
        <v>73</v>
      </c>
      <c r="E864" s="1" t="s">
        <v>40</v>
      </c>
      <c r="F864" s="1" t="s">
        <v>41</v>
      </c>
      <c r="G864" s="1" t="s">
        <v>922</v>
      </c>
      <c r="H864">
        <v>863</v>
      </c>
      <c r="I864" s="1" t="s">
        <v>36</v>
      </c>
      <c r="J864" s="1" t="s">
        <v>48</v>
      </c>
      <c r="K864" s="1" t="s">
        <v>50</v>
      </c>
      <c r="L864" s="1" t="s">
        <v>33</v>
      </c>
      <c r="M864">
        <v>60</v>
      </c>
      <c r="N864">
        <v>144726</v>
      </c>
      <c r="O864">
        <v>1</v>
      </c>
      <c r="P864">
        <v>2</v>
      </c>
      <c r="Q864">
        <v>31</v>
      </c>
      <c r="R864">
        <v>35</v>
      </c>
      <c r="S864">
        <v>6</v>
      </c>
      <c r="T864">
        <v>4</v>
      </c>
      <c r="U864">
        <v>4</v>
      </c>
      <c r="V864">
        <v>11</v>
      </c>
      <c r="W864">
        <v>3</v>
      </c>
    </row>
    <row r="865" spans="1:23" x14ac:dyDescent="0.25">
      <c r="A865" s="1" t="s">
        <v>23</v>
      </c>
      <c r="B865" s="1" t="s">
        <v>24</v>
      </c>
      <c r="C865" s="1" t="s">
        <v>25</v>
      </c>
      <c r="D865" s="1" t="s">
        <v>26</v>
      </c>
      <c r="E865" s="1" t="s">
        <v>40</v>
      </c>
      <c r="F865" s="1" t="s">
        <v>66</v>
      </c>
      <c r="G865" s="1" t="s">
        <v>923</v>
      </c>
      <c r="H865">
        <v>864</v>
      </c>
      <c r="I865" s="1" t="s">
        <v>36</v>
      </c>
      <c r="J865" s="1" t="s">
        <v>64</v>
      </c>
      <c r="K865" s="1" t="s">
        <v>32</v>
      </c>
      <c r="L865" s="1" t="s">
        <v>23</v>
      </c>
      <c r="M865">
        <v>42</v>
      </c>
      <c r="N865">
        <v>126929</v>
      </c>
      <c r="O865">
        <v>1</v>
      </c>
      <c r="P865">
        <v>3</v>
      </c>
      <c r="Q865">
        <v>29</v>
      </c>
      <c r="R865">
        <v>5</v>
      </c>
      <c r="S865">
        <v>1</v>
      </c>
      <c r="T865">
        <v>1</v>
      </c>
      <c r="U865">
        <v>3</v>
      </c>
      <c r="V865">
        <v>19</v>
      </c>
      <c r="W865">
        <v>2</v>
      </c>
    </row>
    <row r="866" spans="1:23" x14ac:dyDescent="0.25">
      <c r="A866" s="1" t="s">
        <v>23</v>
      </c>
      <c r="B866" s="1" t="s">
        <v>54</v>
      </c>
      <c r="C866" s="1" t="s">
        <v>39</v>
      </c>
      <c r="D866" s="1" t="s">
        <v>26</v>
      </c>
      <c r="E866" s="1" t="s">
        <v>51</v>
      </c>
      <c r="F866" s="1" t="s">
        <v>46</v>
      </c>
      <c r="G866" s="1" t="s">
        <v>924</v>
      </c>
      <c r="H866">
        <v>865</v>
      </c>
      <c r="I866" s="1" t="s">
        <v>30</v>
      </c>
      <c r="J866" s="1" t="s">
        <v>43</v>
      </c>
      <c r="K866" s="1" t="s">
        <v>50</v>
      </c>
      <c r="L866" s="1" t="s">
        <v>23</v>
      </c>
      <c r="M866">
        <v>36</v>
      </c>
      <c r="N866">
        <v>99804</v>
      </c>
      <c r="O866">
        <v>4</v>
      </c>
      <c r="P866">
        <v>3</v>
      </c>
      <c r="Q866">
        <v>2</v>
      </c>
      <c r="R866">
        <v>6</v>
      </c>
      <c r="S866">
        <v>0</v>
      </c>
      <c r="T866">
        <v>3</v>
      </c>
      <c r="U866">
        <v>3</v>
      </c>
      <c r="V866">
        <v>23</v>
      </c>
      <c r="W866">
        <v>3</v>
      </c>
    </row>
    <row r="867" spans="1:23" x14ac:dyDescent="0.25">
      <c r="A867" s="1" t="s">
        <v>23</v>
      </c>
      <c r="B867" s="1" t="s">
        <v>44</v>
      </c>
      <c r="C867" s="1" t="s">
        <v>57</v>
      </c>
      <c r="D867" s="1" t="s">
        <v>26</v>
      </c>
      <c r="E867" s="1" t="s">
        <v>27</v>
      </c>
      <c r="F867" s="1" t="s">
        <v>68</v>
      </c>
      <c r="G867" s="1" t="s">
        <v>925</v>
      </c>
      <c r="H867">
        <v>866</v>
      </c>
      <c r="I867" s="1" t="s">
        <v>30</v>
      </c>
      <c r="J867" s="1" t="s">
        <v>59</v>
      </c>
      <c r="K867" s="1" t="s">
        <v>38</v>
      </c>
      <c r="L867" s="1" t="s">
        <v>33</v>
      </c>
      <c r="M867">
        <v>52</v>
      </c>
      <c r="N867">
        <v>98841</v>
      </c>
      <c r="O867">
        <v>3</v>
      </c>
      <c r="P867">
        <v>4</v>
      </c>
      <c r="Q867">
        <v>1</v>
      </c>
      <c r="R867">
        <v>1</v>
      </c>
      <c r="S867">
        <v>2</v>
      </c>
      <c r="T867">
        <v>3</v>
      </c>
      <c r="U867">
        <v>3</v>
      </c>
      <c r="V867">
        <v>23</v>
      </c>
      <c r="W867">
        <v>1</v>
      </c>
    </row>
    <row r="868" spans="1:23" x14ac:dyDescent="0.25">
      <c r="A868" s="1" t="s">
        <v>33</v>
      </c>
      <c r="B868" s="1" t="s">
        <v>54</v>
      </c>
      <c r="C868" s="1" t="s">
        <v>65</v>
      </c>
      <c r="D868" s="1" t="s">
        <v>73</v>
      </c>
      <c r="E868" s="1" t="s">
        <v>51</v>
      </c>
      <c r="F868" s="1" t="s">
        <v>66</v>
      </c>
      <c r="G868" s="1" t="s">
        <v>926</v>
      </c>
      <c r="H868">
        <v>867</v>
      </c>
      <c r="I868" s="1" t="s">
        <v>36</v>
      </c>
      <c r="J868" s="1" t="s">
        <v>31</v>
      </c>
      <c r="K868" s="1" t="s">
        <v>50</v>
      </c>
      <c r="L868" s="1" t="s">
        <v>23</v>
      </c>
      <c r="M868">
        <v>42</v>
      </c>
      <c r="N868">
        <v>101443</v>
      </c>
      <c r="O868">
        <v>1</v>
      </c>
      <c r="P868">
        <v>2</v>
      </c>
      <c r="Q868">
        <v>36</v>
      </c>
      <c r="R868">
        <v>13</v>
      </c>
      <c r="S868">
        <v>4</v>
      </c>
      <c r="T868">
        <v>1</v>
      </c>
      <c r="U868">
        <v>3</v>
      </c>
      <c r="V868">
        <v>2</v>
      </c>
      <c r="W868">
        <v>3</v>
      </c>
    </row>
    <row r="869" spans="1:23" x14ac:dyDescent="0.25">
      <c r="A869" s="1" t="s">
        <v>23</v>
      </c>
      <c r="B869" s="1" t="s">
        <v>24</v>
      </c>
      <c r="C869" s="1" t="s">
        <v>65</v>
      </c>
      <c r="D869" s="1" t="s">
        <v>26</v>
      </c>
      <c r="E869" s="1" t="s">
        <v>51</v>
      </c>
      <c r="F869" s="1" t="s">
        <v>52</v>
      </c>
      <c r="G869" s="1" t="s">
        <v>927</v>
      </c>
      <c r="H869">
        <v>868</v>
      </c>
      <c r="I869" s="1" t="s">
        <v>36</v>
      </c>
      <c r="J869" s="1" t="s">
        <v>59</v>
      </c>
      <c r="K869" s="1" t="s">
        <v>32</v>
      </c>
      <c r="L869" s="1" t="s">
        <v>23</v>
      </c>
      <c r="M869">
        <v>27</v>
      </c>
      <c r="N869">
        <v>123814</v>
      </c>
      <c r="O869">
        <v>1</v>
      </c>
      <c r="P869">
        <v>3</v>
      </c>
      <c r="Q869">
        <v>26</v>
      </c>
      <c r="R869">
        <v>5</v>
      </c>
      <c r="S869">
        <v>5</v>
      </c>
      <c r="T869">
        <v>3</v>
      </c>
      <c r="U869">
        <v>4</v>
      </c>
      <c r="V869">
        <v>24</v>
      </c>
      <c r="W869">
        <v>1</v>
      </c>
    </row>
    <row r="870" spans="1:23" x14ac:dyDescent="0.25">
      <c r="A870" s="1" t="s">
        <v>23</v>
      </c>
      <c r="B870" s="1" t="s">
        <v>24</v>
      </c>
      <c r="C870" s="1" t="s">
        <v>25</v>
      </c>
      <c r="D870" s="1" t="s">
        <v>26</v>
      </c>
      <c r="E870" s="1" t="s">
        <v>51</v>
      </c>
      <c r="F870" s="1" t="s">
        <v>66</v>
      </c>
      <c r="G870" s="1" t="s">
        <v>928</v>
      </c>
      <c r="H870">
        <v>869</v>
      </c>
      <c r="I870" s="1" t="s">
        <v>36</v>
      </c>
      <c r="J870" s="1" t="s">
        <v>64</v>
      </c>
      <c r="K870" s="1" t="s">
        <v>38</v>
      </c>
      <c r="L870" s="1" t="s">
        <v>23</v>
      </c>
      <c r="M870">
        <v>46</v>
      </c>
      <c r="N870">
        <v>160072</v>
      </c>
      <c r="O870">
        <v>1</v>
      </c>
      <c r="P870">
        <v>3</v>
      </c>
      <c r="Q870">
        <v>10</v>
      </c>
      <c r="R870">
        <v>37</v>
      </c>
      <c r="S870">
        <v>4</v>
      </c>
      <c r="T870">
        <v>2</v>
      </c>
      <c r="U870">
        <v>3</v>
      </c>
      <c r="V870">
        <v>11</v>
      </c>
      <c r="W870">
        <v>2</v>
      </c>
    </row>
    <row r="871" spans="1:23" x14ac:dyDescent="0.25">
      <c r="A871" s="1" t="s">
        <v>23</v>
      </c>
      <c r="B871" s="1" t="s">
        <v>24</v>
      </c>
      <c r="C871" s="1" t="s">
        <v>65</v>
      </c>
      <c r="D871" s="1" t="s">
        <v>26</v>
      </c>
      <c r="E871" s="1" t="s">
        <v>46</v>
      </c>
      <c r="F871" s="1" t="s">
        <v>52</v>
      </c>
      <c r="G871" s="1" t="s">
        <v>929</v>
      </c>
      <c r="H871">
        <v>870</v>
      </c>
      <c r="I871" s="1" t="s">
        <v>30</v>
      </c>
      <c r="J871" s="1" t="s">
        <v>86</v>
      </c>
      <c r="K871" s="1" t="s">
        <v>50</v>
      </c>
      <c r="L871" s="1" t="s">
        <v>33</v>
      </c>
      <c r="M871">
        <v>31</v>
      </c>
      <c r="N871">
        <v>151610</v>
      </c>
      <c r="O871">
        <v>2</v>
      </c>
      <c r="P871">
        <v>4</v>
      </c>
      <c r="Q871">
        <v>0</v>
      </c>
      <c r="R871">
        <v>33</v>
      </c>
      <c r="S871">
        <v>2</v>
      </c>
      <c r="T871">
        <v>2</v>
      </c>
      <c r="U871">
        <v>4</v>
      </c>
      <c r="V871">
        <v>18</v>
      </c>
      <c r="W871">
        <v>2</v>
      </c>
    </row>
    <row r="872" spans="1:23" x14ac:dyDescent="0.25">
      <c r="A872" s="1" t="s">
        <v>23</v>
      </c>
      <c r="B872" s="1" t="s">
        <v>44</v>
      </c>
      <c r="C872" s="1" t="s">
        <v>34</v>
      </c>
      <c r="D872" s="1" t="s">
        <v>26</v>
      </c>
      <c r="E872" s="1" t="s">
        <v>46</v>
      </c>
      <c r="F872" s="1" t="s">
        <v>28</v>
      </c>
      <c r="G872" s="1" t="s">
        <v>930</v>
      </c>
      <c r="H872">
        <v>871</v>
      </c>
      <c r="I872" s="1" t="s">
        <v>36</v>
      </c>
      <c r="J872" s="1" t="s">
        <v>37</v>
      </c>
      <c r="K872" s="1" t="s">
        <v>50</v>
      </c>
      <c r="L872" s="1" t="s">
        <v>23</v>
      </c>
      <c r="M872">
        <v>58</v>
      </c>
      <c r="N872">
        <v>125883</v>
      </c>
      <c r="O872">
        <v>3</v>
      </c>
      <c r="P872">
        <v>3</v>
      </c>
      <c r="Q872">
        <v>15</v>
      </c>
      <c r="R872">
        <v>39</v>
      </c>
      <c r="S872">
        <v>6</v>
      </c>
      <c r="T872">
        <v>1</v>
      </c>
      <c r="U872">
        <v>4</v>
      </c>
      <c r="V872">
        <v>9</v>
      </c>
      <c r="W872">
        <v>5</v>
      </c>
    </row>
    <row r="873" spans="1:23" x14ac:dyDescent="0.25">
      <c r="A873" s="1" t="s">
        <v>23</v>
      </c>
      <c r="B873" s="1" t="s">
        <v>54</v>
      </c>
      <c r="C873" s="1" t="s">
        <v>57</v>
      </c>
      <c r="D873" s="1" t="s">
        <v>26</v>
      </c>
      <c r="E873" s="1" t="s">
        <v>40</v>
      </c>
      <c r="F873" s="1" t="s">
        <v>28</v>
      </c>
      <c r="G873" s="1" t="s">
        <v>931</v>
      </c>
      <c r="H873">
        <v>872</v>
      </c>
      <c r="I873" s="1" t="s">
        <v>36</v>
      </c>
      <c r="J873" s="1" t="s">
        <v>70</v>
      </c>
      <c r="K873" s="1" t="s">
        <v>32</v>
      </c>
      <c r="L873" s="1" t="s">
        <v>33</v>
      </c>
      <c r="M873">
        <v>58</v>
      </c>
      <c r="N873">
        <v>49451</v>
      </c>
      <c r="O873">
        <v>2</v>
      </c>
      <c r="P873">
        <v>2</v>
      </c>
      <c r="Q873">
        <v>2</v>
      </c>
      <c r="R873">
        <v>14</v>
      </c>
      <c r="S873">
        <v>1</v>
      </c>
      <c r="T873">
        <v>1</v>
      </c>
      <c r="U873">
        <v>3</v>
      </c>
      <c r="V873">
        <v>22</v>
      </c>
      <c r="W873">
        <v>4</v>
      </c>
    </row>
    <row r="874" spans="1:23" x14ac:dyDescent="0.25">
      <c r="A874" s="1" t="s">
        <v>23</v>
      </c>
      <c r="B874" s="1" t="s">
        <v>54</v>
      </c>
      <c r="C874" s="1" t="s">
        <v>34</v>
      </c>
      <c r="D874" s="1" t="s">
        <v>26</v>
      </c>
      <c r="E874" s="1" t="s">
        <v>60</v>
      </c>
      <c r="F874" s="1" t="s">
        <v>66</v>
      </c>
      <c r="G874" s="1" t="s">
        <v>932</v>
      </c>
      <c r="H874">
        <v>873</v>
      </c>
      <c r="I874" s="1" t="s">
        <v>30</v>
      </c>
      <c r="J874" s="1" t="s">
        <v>31</v>
      </c>
      <c r="K874" s="1" t="s">
        <v>32</v>
      </c>
      <c r="L874" s="1" t="s">
        <v>33</v>
      </c>
      <c r="M874">
        <v>47</v>
      </c>
      <c r="N874">
        <v>46037</v>
      </c>
      <c r="O874">
        <v>3</v>
      </c>
      <c r="P874">
        <v>2</v>
      </c>
      <c r="Q874">
        <v>28</v>
      </c>
      <c r="R874">
        <v>9</v>
      </c>
      <c r="S874">
        <v>1</v>
      </c>
      <c r="T874">
        <v>1</v>
      </c>
      <c r="U874">
        <v>4</v>
      </c>
      <c r="V874">
        <v>11</v>
      </c>
      <c r="W874">
        <v>4</v>
      </c>
    </row>
    <row r="875" spans="1:23" x14ac:dyDescent="0.25">
      <c r="A875" s="1" t="s">
        <v>23</v>
      </c>
      <c r="B875" s="1" t="s">
        <v>44</v>
      </c>
      <c r="C875" s="1" t="s">
        <v>39</v>
      </c>
      <c r="D875" s="1" t="s">
        <v>26</v>
      </c>
      <c r="E875" s="1" t="s">
        <v>27</v>
      </c>
      <c r="F875" s="1" t="s">
        <v>52</v>
      </c>
      <c r="G875" s="1" t="s">
        <v>933</v>
      </c>
      <c r="H875">
        <v>874</v>
      </c>
      <c r="I875" s="1" t="s">
        <v>30</v>
      </c>
      <c r="J875" s="1" t="s">
        <v>70</v>
      </c>
      <c r="K875" s="1" t="s">
        <v>50</v>
      </c>
      <c r="L875" s="1" t="s">
        <v>23</v>
      </c>
      <c r="M875">
        <v>43</v>
      </c>
      <c r="N875">
        <v>67283</v>
      </c>
      <c r="O875">
        <v>2</v>
      </c>
      <c r="P875">
        <v>4</v>
      </c>
      <c r="Q875">
        <v>31</v>
      </c>
      <c r="R875">
        <v>17</v>
      </c>
      <c r="S875">
        <v>3</v>
      </c>
      <c r="T875">
        <v>1</v>
      </c>
      <c r="U875">
        <v>4</v>
      </c>
      <c r="V875">
        <v>1</v>
      </c>
      <c r="W875">
        <v>4</v>
      </c>
    </row>
    <row r="876" spans="1:23" x14ac:dyDescent="0.25">
      <c r="A876" s="1" t="s">
        <v>23</v>
      </c>
      <c r="B876" s="1" t="s">
        <v>54</v>
      </c>
      <c r="C876" s="1" t="s">
        <v>25</v>
      </c>
      <c r="D876" s="1" t="s">
        <v>26</v>
      </c>
      <c r="E876" s="1" t="s">
        <v>60</v>
      </c>
      <c r="F876" s="1" t="s">
        <v>68</v>
      </c>
      <c r="G876" s="1" t="s">
        <v>934</v>
      </c>
      <c r="H876">
        <v>875</v>
      </c>
      <c r="I876" s="1" t="s">
        <v>36</v>
      </c>
      <c r="J876" s="1" t="s">
        <v>48</v>
      </c>
      <c r="K876" s="1" t="s">
        <v>38</v>
      </c>
      <c r="L876" s="1" t="s">
        <v>33</v>
      </c>
      <c r="M876">
        <v>39</v>
      </c>
      <c r="N876">
        <v>54883</v>
      </c>
      <c r="O876">
        <v>3</v>
      </c>
      <c r="P876">
        <v>3</v>
      </c>
      <c r="Q876">
        <v>11</v>
      </c>
      <c r="R876">
        <v>27</v>
      </c>
      <c r="S876">
        <v>6</v>
      </c>
      <c r="T876">
        <v>1</v>
      </c>
      <c r="U876">
        <v>4</v>
      </c>
      <c r="V876">
        <v>26</v>
      </c>
      <c r="W876">
        <v>5</v>
      </c>
    </row>
    <row r="877" spans="1:23" x14ac:dyDescent="0.25">
      <c r="A877" s="1" t="s">
        <v>23</v>
      </c>
      <c r="B877" s="1" t="s">
        <v>54</v>
      </c>
      <c r="C877" s="1" t="s">
        <v>39</v>
      </c>
      <c r="D877" s="1" t="s">
        <v>26</v>
      </c>
      <c r="E877" s="1" t="s">
        <v>27</v>
      </c>
      <c r="F877" s="1" t="s">
        <v>28</v>
      </c>
      <c r="G877" s="1" t="s">
        <v>935</v>
      </c>
      <c r="H877">
        <v>876</v>
      </c>
      <c r="I877" s="1" t="s">
        <v>36</v>
      </c>
      <c r="J877" s="1" t="s">
        <v>48</v>
      </c>
      <c r="K877" s="1" t="s">
        <v>32</v>
      </c>
      <c r="L877" s="1" t="s">
        <v>23</v>
      </c>
      <c r="M877">
        <v>51</v>
      </c>
      <c r="N877">
        <v>120392</v>
      </c>
      <c r="O877">
        <v>3</v>
      </c>
      <c r="P877">
        <v>2</v>
      </c>
      <c r="Q877">
        <v>30</v>
      </c>
      <c r="R877">
        <v>14</v>
      </c>
      <c r="S877">
        <v>3</v>
      </c>
      <c r="T877">
        <v>2</v>
      </c>
      <c r="U877">
        <v>3</v>
      </c>
      <c r="V877">
        <v>25</v>
      </c>
      <c r="W877">
        <v>2</v>
      </c>
    </row>
    <row r="878" spans="1:23" x14ac:dyDescent="0.25">
      <c r="A878" s="1" t="s">
        <v>23</v>
      </c>
      <c r="B878" s="1" t="s">
        <v>54</v>
      </c>
      <c r="C878" s="1" t="s">
        <v>34</v>
      </c>
      <c r="D878" s="1" t="s">
        <v>26</v>
      </c>
      <c r="E878" s="1" t="s">
        <v>51</v>
      </c>
      <c r="F878" s="1" t="s">
        <v>52</v>
      </c>
      <c r="G878" s="1" t="s">
        <v>936</v>
      </c>
      <c r="H878">
        <v>877</v>
      </c>
      <c r="I878" s="1" t="s">
        <v>30</v>
      </c>
      <c r="J878" s="1" t="s">
        <v>31</v>
      </c>
      <c r="K878" s="1" t="s">
        <v>38</v>
      </c>
      <c r="L878" s="1" t="s">
        <v>23</v>
      </c>
      <c r="M878">
        <v>54</v>
      </c>
      <c r="N878">
        <v>84797</v>
      </c>
      <c r="O878">
        <v>1</v>
      </c>
      <c r="P878">
        <v>3</v>
      </c>
      <c r="Q878">
        <v>33</v>
      </c>
      <c r="R878">
        <v>19</v>
      </c>
      <c r="S878">
        <v>5</v>
      </c>
      <c r="T878">
        <v>4</v>
      </c>
      <c r="U878">
        <v>3</v>
      </c>
      <c r="V878">
        <v>3</v>
      </c>
      <c r="W878">
        <v>5</v>
      </c>
    </row>
    <row r="879" spans="1:23" x14ac:dyDescent="0.25">
      <c r="A879" s="1" t="s">
        <v>33</v>
      </c>
      <c r="B879" s="1" t="s">
        <v>44</v>
      </c>
      <c r="C879" s="1" t="s">
        <v>34</v>
      </c>
      <c r="D879" s="1" t="s">
        <v>73</v>
      </c>
      <c r="E879" s="1" t="s">
        <v>27</v>
      </c>
      <c r="F879" s="1" t="s">
        <v>28</v>
      </c>
      <c r="G879" s="1" t="s">
        <v>937</v>
      </c>
      <c r="H879">
        <v>878</v>
      </c>
      <c r="I879" s="1" t="s">
        <v>30</v>
      </c>
      <c r="J879" s="1" t="s">
        <v>86</v>
      </c>
      <c r="K879" s="1" t="s">
        <v>32</v>
      </c>
      <c r="L879" s="1" t="s">
        <v>33</v>
      </c>
      <c r="M879">
        <v>30</v>
      </c>
      <c r="N879">
        <v>23130</v>
      </c>
      <c r="O879">
        <v>3</v>
      </c>
      <c r="P879">
        <v>4</v>
      </c>
      <c r="Q879">
        <v>36</v>
      </c>
      <c r="R879">
        <v>21</v>
      </c>
      <c r="S879">
        <v>0</v>
      </c>
      <c r="T879">
        <v>4</v>
      </c>
      <c r="U879">
        <v>3</v>
      </c>
      <c r="V879">
        <v>6</v>
      </c>
      <c r="W879">
        <v>1</v>
      </c>
    </row>
    <row r="880" spans="1:23" x14ac:dyDescent="0.25">
      <c r="A880" s="1" t="s">
        <v>23</v>
      </c>
      <c r="B880" s="1" t="s">
        <v>44</v>
      </c>
      <c r="C880" s="1" t="s">
        <v>39</v>
      </c>
      <c r="D880" s="1" t="s">
        <v>26</v>
      </c>
      <c r="E880" s="1" t="s">
        <v>40</v>
      </c>
      <c r="F880" s="1" t="s">
        <v>52</v>
      </c>
      <c r="G880" s="1" t="s">
        <v>938</v>
      </c>
      <c r="H880">
        <v>879</v>
      </c>
      <c r="I880" s="1" t="s">
        <v>36</v>
      </c>
      <c r="J880" s="1" t="s">
        <v>43</v>
      </c>
      <c r="K880" s="1" t="s">
        <v>50</v>
      </c>
      <c r="L880" s="1" t="s">
        <v>23</v>
      </c>
      <c r="M880">
        <v>59</v>
      </c>
      <c r="N880">
        <v>166167</v>
      </c>
      <c r="O880">
        <v>3</v>
      </c>
      <c r="P880">
        <v>1</v>
      </c>
      <c r="Q880">
        <v>24</v>
      </c>
      <c r="R880">
        <v>30</v>
      </c>
      <c r="S880">
        <v>4</v>
      </c>
      <c r="T880">
        <v>2</v>
      </c>
      <c r="U880">
        <v>3</v>
      </c>
      <c r="V880">
        <v>11</v>
      </c>
      <c r="W880">
        <v>1</v>
      </c>
    </row>
    <row r="881" spans="1:23" x14ac:dyDescent="0.25">
      <c r="A881" s="1" t="s">
        <v>33</v>
      </c>
      <c r="B881" s="1" t="s">
        <v>54</v>
      </c>
      <c r="C881" s="1" t="s">
        <v>34</v>
      </c>
      <c r="D881" s="1" t="s">
        <v>73</v>
      </c>
      <c r="E881" s="1" t="s">
        <v>55</v>
      </c>
      <c r="F881" s="1" t="s">
        <v>46</v>
      </c>
      <c r="G881" s="1" t="s">
        <v>939</v>
      </c>
      <c r="H881">
        <v>880</v>
      </c>
      <c r="I881" s="1" t="s">
        <v>36</v>
      </c>
      <c r="J881" s="1" t="s">
        <v>48</v>
      </c>
      <c r="K881" s="1" t="s">
        <v>38</v>
      </c>
      <c r="L881" s="1" t="s">
        <v>33</v>
      </c>
      <c r="M881">
        <v>25</v>
      </c>
      <c r="N881">
        <v>45051</v>
      </c>
      <c r="O881">
        <v>2</v>
      </c>
      <c r="P881">
        <v>2</v>
      </c>
      <c r="Q881">
        <v>26</v>
      </c>
      <c r="R881">
        <v>2</v>
      </c>
      <c r="S881">
        <v>1</v>
      </c>
      <c r="T881">
        <v>4</v>
      </c>
      <c r="U881">
        <v>4</v>
      </c>
      <c r="V881">
        <v>18</v>
      </c>
      <c r="W881">
        <v>1</v>
      </c>
    </row>
    <row r="882" spans="1:23" x14ac:dyDescent="0.25">
      <c r="A882" s="1" t="s">
        <v>23</v>
      </c>
      <c r="B882" s="1" t="s">
        <v>44</v>
      </c>
      <c r="C882" s="1" t="s">
        <v>57</v>
      </c>
      <c r="D882" s="1" t="s">
        <v>26</v>
      </c>
      <c r="E882" s="1" t="s">
        <v>51</v>
      </c>
      <c r="F882" s="1" t="s">
        <v>52</v>
      </c>
      <c r="G882" s="1" t="s">
        <v>940</v>
      </c>
      <c r="H882">
        <v>881</v>
      </c>
      <c r="I882" s="1" t="s">
        <v>30</v>
      </c>
      <c r="J882" s="1" t="s">
        <v>48</v>
      </c>
      <c r="K882" s="1" t="s">
        <v>32</v>
      </c>
      <c r="L882" s="1" t="s">
        <v>33</v>
      </c>
      <c r="M882">
        <v>34</v>
      </c>
      <c r="N882">
        <v>115223</v>
      </c>
      <c r="O882">
        <v>1</v>
      </c>
      <c r="P882">
        <v>1</v>
      </c>
      <c r="Q882">
        <v>16</v>
      </c>
      <c r="R882">
        <v>0</v>
      </c>
      <c r="S882">
        <v>4</v>
      </c>
      <c r="T882">
        <v>4</v>
      </c>
      <c r="U882">
        <v>3</v>
      </c>
      <c r="V882">
        <v>9</v>
      </c>
      <c r="W882">
        <v>5</v>
      </c>
    </row>
    <row r="883" spans="1:23" x14ac:dyDescent="0.25">
      <c r="A883" s="1" t="s">
        <v>33</v>
      </c>
      <c r="B883" s="1" t="s">
        <v>44</v>
      </c>
      <c r="C883" s="1" t="s">
        <v>65</v>
      </c>
      <c r="D883" s="1" t="s">
        <v>73</v>
      </c>
      <c r="E883" s="1" t="s">
        <v>60</v>
      </c>
      <c r="F883" s="1" t="s">
        <v>28</v>
      </c>
      <c r="G883" s="1" t="s">
        <v>941</v>
      </c>
      <c r="H883">
        <v>882</v>
      </c>
      <c r="I883" s="1" t="s">
        <v>30</v>
      </c>
      <c r="J883" s="1" t="s">
        <v>31</v>
      </c>
      <c r="K883" s="1" t="s">
        <v>38</v>
      </c>
      <c r="L883" s="1" t="s">
        <v>33</v>
      </c>
      <c r="M883">
        <v>23</v>
      </c>
      <c r="N883">
        <v>142783</v>
      </c>
      <c r="O883">
        <v>3</v>
      </c>
      <c r="P883">
        <v>2</v>
      </c>
      <c r="Q883">
        <v>0</v>
      </c>
      <c r="R883">
        <v>31</v>
      </c>
      <c r="S883">
        <v>6</v>
      </c>
      <c r="T883">
        <v>2</v>
      </c>
      <c r="U883">
        <v>4</v>
      </c>
      <c r="V883">
        <v>29</v>
      </c>
      <c r="W883">
        <v>3</v>
      </c>
    </row>
    <row r="884" spans="1:23" x14ac:dyDescent="0.25">
      <c r="A884" s="1" t="s">
        <v>23</v>
      </c>
      <c r="B884" s="1" t="s">
        <v>54</v>
      </c>
      <c r="C884" s="1" t="s">
        <v>39</v>
      </c>
      <c r="D884" s="1" t="s">
        <v>26</v>
      </c>
      <c r="E884" s="1" t="s">
        <v>55</v>
      </c>
      <c r="F884" s="1" t="s">
        <v>46</v>
      </c>
      <c r="G884" s="1" t="s">
        <v>942</v>
      </c>
      <c r="H884">
        <v>883</v>
      </c>
      <c r="I884" s="1" t="s">
        <v>30</v>
      </c>
      <c r="J884" s="1" t="s">
        <v>41</v>
      </c>
      <c r="K884" s="1" t="s">
        <v>32</v>
      </c>
      <c r="L884" s="1" t="s">
        <v>23</v>
      </c>
      <c r="M884">
        <v>43</v>
      </c>
      <c r="N884">
        <v>136582</v>
      </c>
      <c r="O884">
        <v>2</v>
      </c>
      <c r="P884">
        <v>1</v>
      </c>
      <c r="Q884">
        <v>6</v>
      </c>
      <c r="R884">
        <v>40</v>
      </c>
      <c r="S884">
        <v>4</v>
      </c>
      <c r="T884">
        <v>1</v>
      </c>
      <c r="U884">
        <v>4</v>
      </c>
      <c r="V884">
        <v>7</v>
      </c>
      <c r="W884">
        <v>2</v>
      </c>
    </row>
    <row r="885" spans="1:23" x14ac:dyDescent="0.25">
      <c r="A885" s="1" t="s">
        <v>23</v>
      </c>
      <c r="B885" s="1" t="s">
        <v>54</v>
      </c>
      <c r="C885" s="1" t="s">
        <v>34</v>
      </c>
      <c r="D885" s="1" t="s">
        <v>26</v>
      </c>
      <c r="E885" s="1" t="s">
        <v>60</v>
      </c>
      <c r="F885" s="1" t="s">
        <v>28</v>
      </c>
      <c r="G885" s="1" t="s">
        <v>943</v>
      </c>
      <c r="H885">
        <v>884</v>
      </c>
      <c r="I885" s="1" t="s">
        <v>30</v>
      </c>
      <c r="J885" s="1" t="s">
        <v>48</v>
      </c>
      <c r="K885" s="1" t="s">
        <v>50</v>
      </c>
      <c r="L885" s="1" t="s">
        <v>33</v>
      </c>
      <c r="M885">
        <v>39</v>
      </c>
      <c r="N885">
        <v>138810</v>
      </c>
      <c r="O885">
        <v>1</v>
      </c>
      <c r="P885">
        <v>4</v>
      </c>
      <c r="Q885">
        <v>14</v>
      </c>
      <c r="R885">
        <v>39</v>
      </c>
      <c r="S885">
        <v>1</v>
      </c>
      <c r="T885">
        <v>1</v>
      </c>
      <c r="U885">
        <v>3</v>
      </c>
      <c r="V885">
        <v>24</v>
      </c>
      <c r="W885">
        <v>2</v>
      </c>
    </row>
    <row r="886" spans="1:23" x14ac:dyDescent="0.25">
      <c r="A886" s="1" t="s">
        <v>23</v>
      </c>
      <c r="B886" s="1" t="s">
        <v>54</v>
      </c>
      <c r="C886" s="1" t="s">
        <v>65</v>
      </c>
      <c r="D886" s="1" t="s">
        <v>26</v>
      </c>
      <c r="E886" s="1" t="s">
        <v>27</v>
      </c>
      <c r="F886" s="1" t="s">
        <v>68</v>
      </c>
      <c r="G886" s="1" t="s">
        <v>944</v>
      </c>
      <c r="H886">
        <v>885</v>
      </c>
      <c r="I886" s="1" t="s">
        <v>30</v>
      </c>
      <c r="J886" s="1" t="s">
        <v>31</v>
      </c>
      <c r="K886" s="1" t="s">
        <v>50</v>
      </c>
      <c r="L886" s="1" t="s">
        <v>23</v>
      </c>
      <c r="M886">
        <v>45</v>
      </c>
      <c r="N886">
        <v>19998</v>
      </c>
      <c r="O886">
        <v>2</v>
      </c>
      <c r="P886">
        <v>3</v>
      </c>
      <c r="Q886">
        <v>2</v>
      </c>
      <c r="R886">
        <v>34</v>
      </c>
      <c r="S886">
        <v>1</v>
      </c>
      <c r="T886">
        <v>4</v>
      </c>
      <c r="U886">
        <v>3</v>
      </c>
      <c r="V886">
        <v>3</v>
      </c>
      <c r="W886">
        <v>2</v>
      </c>
    </row>
    <row r="887" spans="1:23" x14ac:dyDescent="0.25">
      <c r="A887" s="1" t="s">
        <v>23</v>
      </c>
      <c r="B887" s="1" t="s">
        <v>44</v>
      </c>
      <c r="C887" s="1" t="s">
        <v>34</v>
      </c>
      <c r="D887" s="1" t="s">
        <v>26</v>
      </c>
      <c r="E887" s="1" t="s">
        <v>60</v>
      </c>
      <c r="F887" s="1" t="s">
        <v>28</v>
      </c>
      <c r="G887" s="1" t="s">
        <v>945</v>
      </c>
      <c r="H887">
        <v>886</v>
      </c>
      <c r="I887" s="1" t="s">
        <v>30</v>
      </c>
      <c r="J887" s="1" t="s">
        <v>76</v>
      </c>
      <c r="K887" s="1" t="s">
        <v>32</v>
      </c>
      <c r="L887" s="1" t="s">
        <v>23</v>
      </c>
      <c r="M887">
        <v>49</v>
      </c>
      <c r="N887">
        <v>59260</v>
      </c>
      <c r="O887">
        <v>2</v>
      </c>
      <c r="P887">
        <v>4</v>
      </c>
      <c r="Q887">
        <v>27</v>
      </c>
      <c r="R887">
        <v>11</v>
      </c>
      <c r="S887">
        <v>4</v>
      </c>
      <c r="T887">
        <v>4</v>
      </c>
      <c r="U887">
        <v>4</v>
      </c>
      <c r="V887">
        <v>11</v>
      </c>
      <c r="W887">
        <v>3</v>
      </c>
    </row>
    <row r="888" spans="1:23" x14ac:dyDescent="0.25">
      <c r="A888" s="1" t="s">
        <v>23</v>
      </c>
      <c r="B888" s="1" t="s">
        <v>24</v>
      </c>
      <c r="C888" s="1" t="s">
        <v>65</v>
      </c>
      <c r="D888" s="1" t="s">
        <v>26</v>
      </c>
      <c r="E888" s="1" t="s">
        <v>60</v>
      </c>
      <c r="F888" s="1" t="s">
        <v>68</v>
      </c>
      <c r="G888" s="1" t="s">
        <v>946</v>
      </c>
      <c r="H888">
        <v>887</v>
      </c>
      <c r="I888" s="1" t="s">
        <v>36</v>
      </c>
      <c r="J888" s="1" t="s">
        <v>41</v>
      </c>
      <c r="K888" s="1" t="s">
        <v>32</v>
      </c>
      <c r="L888" s="1" t="s">
        <v>23</v>
      </c>
      <c r="M888">
        <v>26</v>
      </c>
      <c r="N888">
        <v>170411</v>
      </c>
      <c r="O888">
        <v>1</v>
      </c>
      <c r="P888">
        <v>2</v>
      </c>
      <c r="Q888">
        <v>3</v>
      </c>
      <c r="R888">
        <v>14</v>
      </c>
      <c r="S888">
        <v>5</v>
      </c>
      <c r="T888">
        <v>1</v>
      </c>
      <c r="U888">
        <v>4</v>
      </c>
      <c r="V888">
        <v>13</v>
      </c>
      <c r="W888">
        <v>5</v>
      </c>
    </row>
    <row r="889" spans="1:23" x14ac:dyDescent="0.25">
      <c r="A889" s="1" t="s">
        <v>23</v>
      </c>
      <c r="B889" s="1" t="s">
        <v>54</v>
      </c>
      <c r="C889" s="1" t="s">
        <v>65</v>
      </c>
      <c r="D889" s="1" t="s">
        <v>26</v>
      </c>
      <c r="E889" s="1" t="s">
        <v>60</v>
      </c>
      <c r="F889" s="1" t="s">
        <v>28</v>
      </c>
      <c r="G889" s="1" t="s">
        <v>947</v>
      </c>
      <c r="H889">
        <v>888</v>
      </c>
      <c r="I889" s="1" t="s">
        <v>30</v>
      </c>
      <c r="J889" s="1" t="s">
        <v>70</v>
      </c>
      <c r="K889" s="1" t="s">
        <v>50</v>
      </c>
      <c r="L889" s="1" t="s">
        <v>33</v>
      </c>
      <c r="M889">
        <v>53</v>
      </c>
      <c r="N889">
        <v>177095</v>
      </c>
      <c r="O889">
        <v>1</v>
      </c>
      <c r="P889">
        <v>2</v>
      </c>
      <c r="Q889">
        <v>34</v>
      </c>
      <c r="R889">
        <v>35</v>
      </c>
      <c r="S889">
        <v>0</v>
      </c>
      <c r="T889">
        <v>3</v>
      </c>
      <c r="U889">
        <v>3</v>
      </c>
      <c r="V889">
        <v>9</v>
      </c>
      <c r="W889">
        <v>3</v>
      </c>
    </row>
    <row r="890" spans="1:23" x14ac:dyDescent="0.25">
      <c r="A890" s="1" t="s">
        <v>23</v>
      </c>
      <c r="B890" s="1" t="s">
        <v>24</v>
      </c>
      <c r="C890" s="1" t="s">
        <v>34</v>
      </c>
      <c r="D890" s="1" t="s">
        <v>26</v>
      </c>
      <c r="E890" s="1" t="s">
        <v>55</v>
      </c>
      <c r="F890" s="1" t="s">
        <v>68</v>
      </c>
      <c r="G890" s="1" t="s">
        <v>948</v>
      </c>
      <c r="H890">
        <v>889</v>
      </c>
      <c r="I890" s="1" t="s">
        <v>36</v>
      </c>
      <c r="J890" s="1" t="s">
        <v>48</v>
      </c>
      <c r="K890" s="1" t="s">
        <v>50</v>
      </c>
      <c r="L890" s="1" t="s">
        <v>33</v>
      </c>
      <c r="M890">
        <v>26</v>
      </c>
      <c r="N890">
        <v>153778</v>
      </c>
      <c r="O890">
        <v>2</v>
      </c>
      <c r="P890">
        <v>4</v>
      </c>
      <c r="Q890">
        <v>4</v>
      </c>
      <c r="R890">
        <v>27</v>
      </c>
      <c r="S890">
        <v>5</v>
      </c>
      <c r="T890">
        <v>1</v>
      </c>
      <c r="U890">
        <v>4</v>
      </c>
      <c r="V890">
        <v>15</v>
      </c>
      <c r="W890">
        <v>2</v>
      </c>
    </row>
    <row r="891" spans="1:23" x14ac:dyDescent="0.25">
      <c r="A891" s="1" t="s">
        <v>23</v>
      </c>
      <c r="B891" s="1" t="s">
        <v>24</v>
      </c>
      <c r="C891" s="1" t="s">
        <v>57</v>
      </c>
      <c r="D891" s="1" t="s">
        <v>26</v>
      </c>
      <c r="E891" s="1" t="s">
        <v>27</v>
      </c>
      <c r="F891" s="1" t="s">
        <v>66</v>
      </c>
      <c r="G891" s="1" t="s">
        <v>949</v>
      </c>
      <c r="H891">
        <v>890</v>
      </c>
      <c r="I891" s="1" t="s">
        <v>30</v>
      </c>
      <c r="J891" s="1" t="s">
        <v>64</v>
      </c>
      <c r="K891" s="1" t="s">
        <v>32</v>
      </c>
      <c r="L891" s="1" t="s">
        <v>33</v>
      </c>
      <c r="M891">
        <v>22</v>
      </c>
      <c r="N891">
        <v>39924</v>
      </c>
      <c r="O891">
        <v>3</v>
      </c>
      <c r="P891">
        <v>2</v>
      </c>
      <c r="Q891">
        <v>40</v>
      </c>
      <c r="R891">
        <v>37</v>
      </c>
      <c r="S891">
        <v>0</v>
      </c>
      <c r="T891">
        <v>1</v>
      </c>
      <c r="U891">
        <v>3</v>
      </c>
      <c r="V891">
        <v>16</v>
      </c>
      <c r="W891">
        <v>1</v>
      </c>
    </row>
    <row r="892" spans="1:23" x14ac:dyDescent="0.25">
      <c r="A892" s="1" t="s">
        <v>23</v>
      </c>
      <c r="B892" s="1" t="s">
        <v>44</v>
      </c>
      <c r="C892" s="1" t="s">
        <v>65</v>
      </c>
      <c r="D892" s="1" t="s">
        <v>26</v>
      </c>
      <c r="E892" s="1" t="s">
        <v>46</v>
      </c>
      <c r="F892" s="1" t="s">
        <v>66</v>
      </c>
      <c r="G892" s="1" t="s">
        <v>950</v>
      </c>
      <c r="H892">
        <v>891</v>
      </c>
      <c r="I892" s="1" t="s">
        <v>30</v>
      </c>
      <c r="J892" s="1" t="s">
        <v>70</v>
      </c>
      <c r="K892" s="1" t="s">
        <v>38</v>
      </c>
      <c r="L892" s="1" t="s">
        <v>23</v>
      </c>
      <c r="M892">
        <v>45</v>
      </c>
      <c r="N892">
        <v>48187</v>
      </c>
      <c r="O892">
        <v>3</v>
      </c>
      <c r="P892">
        <v>3</v>
      </c>
      <c r="Q892">
        <v>16</v>
      </c>
      <c r="R892">
        <v>10</v>
      </c>
      <c r="S892">
        <v>0</v>
      </c>
      <c r="T892">
        <v>2</v>
      </c>
      <c r="U892">
        <v>4</v>
      </c>
      <c r="V892">
        <v>10</v>
      </c>
      <c r="W892">
        <v>4</v>
      </c>
    </row>
    <row r="893" spans="1:23" x14ac:dyDescent="0.25">
      <c r="A893" s="1" t="s">
        <v>23</v>
      </c>
      <c r="B893" s="1" t="s">
        <v>24</v>
      </c>
      <c r="C893" s="1" t="s">
        <v>65</v>
      </c>
      <c r="D893" s="1" t="s">
        <v>26</v>
      </c>
      <c r="E893" s="1" t="s">
        <v>55</v>
      </c>
      <c r="F893" s="1" t="s">
        <v>46</v>
      </c>
      <c r="G893" s="1" t="s">
        <v>951</v>
      </c>
      <c r="H893">
        <v>892</v>
      </c>
      <c r="I893" s="1" t="s">
        <v>30</v>
      </c>
      <c r="J893" s="1" t="s">
        <v>37</v>
      </c>
      <c r="K893" s="1" t="s">
        <v>38</v>
      </c>
      <c r="L893" s="1" t="s">
        <v>23</v>
      </c>
      <c r="M893">
        <v>23</v>
      </c>
      <c r="N893">
        <v>150944</v>
      </c>
      <c r="O893">
        <v>4</v>
      </c>
      <c r="P893">
        <v>4</v>
      </c>
      <c r="Q893">
        <v>1</v>
      </c>
      <c r="R893">
        <v>2</v>
      </c>
      <c r="S893">
        <v>4</v>
      </c>
      <c r="T893">
        <v>1</v>
      </c>
      <c r="U893">
        <v>3</v>
      </c>
      <c r="V893">
        <v>22</v>
      </c>
      <c r="W893">
        <v>3</v>
      </c>
    </row>
    <row r="894" spans="1:23" x14ac:dyDescent="0.25">
      <c r="A894" s="1" t="s">
        <v>33</v>
      </c>
      <c r="B894" s="1" t="s">
        <v>44</v>
      </c>
      <c r="C894" s="1" t="s">
        <v>34</v>
      </c>
      <c r="D894" s="1" t="s">
        <v>73</v>
      </c>
      <c r="E894" s="1" t="s">
        <v>46</v>
      </c>
      <c r="F894" s="1" t="s">
        <v>66</v>
      </c>
      <c r="G894" s="1" t="s">
        <v>952</v>
      </c>
      <c r="H894">
        <v>893</v>
      </c>
      <c r="I894" s="1" t="s">
        <v>36</v>
      </c>
      <c r="J894" s="1" t="s">
        <v>59</v>
      </c>
      <c r="K894" s="1" t="s">
        <v>38</v>
      </c>
      <c r="L894" s="1" t="s">
        <v>33</v>
      </c>
      <c r="M894">
        <v>46</v>
      </c>
      <c r="N894">
        <v>117017</v>
      </c>
      <c r="O894">
        <v>1</v>
      </c>
      <c r="P894">
        <v>2</v>
      </c>
      <c r="Q894">
        <v>26</v>
      </c>
      <c r="R894">
        <v>9</v>
      </c>
      <c r="S894">
        <v>6</v>
      </c>
      <c r="T894">
        <v>3</v>
      </c>
      <c r="U894">
        <v>3</v>
      </c>
      <c r="V894">
        <v>11</v>
      </c>
      <c r="W894">
        <v>3</v>
      </c>
    </row>
    <row r="895" spans="1:23" x14ac:dyDescent="0.25">
      <c r="A895" s="1" t="s">
        <v>23</v>
      </c>
      <c r="B895" s="1" t="s">
        <v>54</v>
      </c>
      <c r="C895" s="1" t="s">
        <v>34</v>
      </c>
      <c r="D895" s="1" t="s">
        <v>26</v>
      </c>
      <c r="E895" s="1" t="s">
        <v>55</v>
      </c>
      <c r="F895" s="1" t="s">
        <v>68</v>
      </c>
      <c r="G895" s="1" t="s">
        <v>953</v>
      </c>
      <c r="H895">
        <v>894</v>
      </c>
      <c r="I895" s="1" t="s">
        <v>30</v>
      </c>
      <c r="J895" s="1" t="s">
        <v>59</v>
      </c>
      <c r="K895" s="1" t="s">
        <v>32</v>
      </c>
      <c r="L895" s="1" t="s">
        <v>33</v>
      </c>
      <c r="M895">
        <v>51</v>
      </c>
      <c r="N895">
        <v>31903</v>
      </c>
      <c r="O895">
        <v>4</v>
      </c>
      <c r="P895">
        <v>2</v>
      </c>
      <c r="Q895">
        <v>15</v>
      </c>
      <c r="R895">
        <v>26</v>
      </c>
      <c r="S895">
        <v>4</v>
      </c>
      <c r="T895">
        <v>4</v>
      </c>
      <c r="U895">
        <v>4</v>
      </c>
      <c r="V895">
        <v>26</v>
      </c>
      <c r="W895">
        <v>1</v>
      </c>
    </row>
    <row r="896" spans="1:23" x14ac:dyDescent="0.25">
      <c r="A896" s="1" t="s">
        <v>23</v>
      </c>
      <c r="B896" s="1" t="s">
        <v>24</v>
      </c>
      <c r="C896" s="1" t="s">
        <v>65</v>
      </c>
      <c r="D896" s="1" t="s">
        <v>26</v>
      </c>
      <c r="E896" s="1" t="s">
        <v>51</v>
      </c>
      <c r="F896" s="1" t="s">
        <v>28</v>
      </c>
      <c r="G896" s="1" t="s">
        <v>954</v>
      </c>
      <c r="H896">
        <v>895</v>
      </c>
      <c r="I896" s="1" t="s">
        <v>30</v>
      </c>
      <c r="J896" s="1" t="s">
        <v>64</v>
      </c>
      <c r="K896" s="1" t="s">
        <v>38</v>
      </c>
      <c r="L896" s="1" t="s">
        <v>33</v>
      </c>
      <c r="M896">
        <v>28</v>
      </c>
      <c r="N896">
        <v>120675</v>
      </c>
      <c r="O896">
        <v>3</v>
      </c>
      <c r="P896">
        <v>1</v>
      </c>
      <c r="Q896">
        <v>35</v>
      </c>
      <c r="R896">
        <v>33</v>
      </c>
      <c r="S896">
        <v>5</v>
      </c>
      <c r="T896">
        <v>1</v>
      </c>
      <c r="U896">
        <v>4</v>
      </c>
      <c r="V896">
        <v>21</v>
      </c>
      <c r="W896">
        <v>3</v>
      </c>
    </row>
    <row r="897" spans="1:23" x14ac:dyDescent="0.25">
      <c r="A897" s="1" t="s">
        <v>33</v>
      </c>
      <c r="B897" s="1" t="s">
        <v>44</v>
      </c>
      <c r="C897" s="1" t="s">
        <v>39</v>
      </c>
      <c r="D897" s="1" t="s">
        <v>73</v>
      </c>
      <c r="E897" s="1" t="s">
        <v>51</v>
      </c>
      <c r="F897" s="1" t="s">
        <v>68</v>
      </c>
      <c r="G897" s="1" t="s">
        <v>955</v>
      </c>
      <c r="H897">
        <v>896</v>
      </c>
      <c r="I897" s="1" t="s">
        <v>30</v>
      </c>
      <c r="J897" s="1" t="s">
        <v>59</v>
      </c>
      <c r="K897" s="1" t="s">
        <v>50</v>
      </c>
      <c r="L897" s="1" t="s">
        <v>23</v>
      </c>
      <c r="M897">
        <v>33</v>
      </c>
      <c r="N897">
        <v>156496</v>
      </c>
      <c r="O897">
        <v>1</v>
      </c>
      <c r="P897">
        <v>4</v>
      </c>
      <c r="Q897">
        <v>17</v>
      </c>
      <c r="R897">
        <v>15</v>
      </c>
      <c r="S897">
        <v>1</v>
      </c>
      <c r="T897">
        <v>1</v>
      </c>
      <c r="U897">
        <v>3</v>
      </c>
      <c r="V897">
        <v>23</v>
      </c>
      <c r="W897">
        <v>4</v>
      </c>
    </row>
    <row r="898" spans="1:23" x14ac:dyDescent="0.25">
      <c r="A898" s="1" t="s">
        <v>23</v>
      </c>
      <c r="B898" s="1" t="s">
        <v>54</v>
      </c>
      <c r="C898" s="1" t="s">
        <v>34</v>
      </c>
      <c r="D898" s="1" t="s">
        <v>26</v>
      </c>
      <c r="E898" s="1" t="s">
        <v>55</v>
      </c>
      <c r="F898" s="1" t="s">
        <v>41</v>
      </c>
      <c r="G898" s="1" t="s">
        <v>956</v>
      </c>
      <c r="H898">
        <v>897</v>
      </c>
      <c r="I898" s="1" t="s">
        <v>36</v>
      </c>
      <c r="J898" s="1" t="s">
        <v>41</v>
      </c>
      <c r="K898" s="1" t="s">
        <v>38</v>
      </c>
      <c r="L898" s="1" t="s">
        <v>33</v>
      </c>
      <c r="M898">
        <v>22</v>
      </c>
      <c r="N898">
        <v>81626</v>
      </c>
      <c r="O898">
        <v>4</v>
      </c>
      <c r="P898">
        <v>2</v>
      </c>
      <c r="Q898">
        <v>23</v>
      </c>
      <c r="R898">
        <v>33</v>
      </c>
      <c r="S898">
        <v>3</v>
      </c>
      <c r="T898">
        <v>2</v>
      </c>
      <c r="U898">
        <v>3</v>
      </c>
      <c r="V898">
        <v>10</v>
      </c>
      <c r="W898">
        <v>3</v>
      </c>
    </row>
    <row r="899" spans="1:23" x14ac:dyDescent="0.25">
      <c r="A899" s="1" t="s">
        <v>23</v>
      </c>
      <c r="B899" s="1" t="s">
        <v>44</v>
      </c>
      <c r="C899" s="1" t="s">
        <v>65</v>
      </c>
      <c r="D899" s="1" t="s">
        <v>26</v>
      </c>
      <c r="E899" s="1" t="s">
        <v>40</v>
      </c>
      <c r="F899" s="1" t="s">
        <v>52</v>
      </c>
      <c r="G899" s="1" t="s">
        <v>957</v>
      </c>
      <c r="H899">
        <v>898</v>
      </c>
      <c r="I899" s="1" t="s">
        <v>36</v>
      </c>
      <c r="J899" s="1" t="s">
        <v>70</v>
      </c>
      <c r="K899" s="1" t="s">
        <v>38</v>
      </c>
      <c r="L899" s="1" t="s">
        <v>23</v>
      </c>
      <c r="M899">
        <v>39</v>
      </c>
      <c r="N899">
        <v>29093</v>
      </c>
      <c r="O899">
        <v>2</v>
      </c>
      <c r="P899">
        <v>4</v>
      </c>
      <c r="Q899">
        <v>14</v>
      </c>
      <c r="R899">
        <v>23</v>
      </c>
      <c r="S899">
        <v>2</v>
      </c>
      <c r="T899">
        <v>2</v>
      </c>
      <c r="U899">
        <v>4</v>
      </c>
      <c r="V899">
        <v>7</v>
      </c>
      <c r="W899">
        <v>1</v>
      </c>
    </row>
    <row r="900" spans="1:23" x14ac:dyDescent="0.25">
      <c r="A900" s="1" t="s">
        <v>23</v>
      </c>
      <c r="B900" s="1" t="s">
        <v>44</v>
      </c>
      <c r="C900" s="1" t="s">
        <v>39</v>
      </c>
      <c r="D900" s="1" t="s">
        <v>26</v>
      </c>
      <c r="E900" s="1" t="s">
        <v>27</v>
      </c>
      <c r="F900" s="1" t="s">
        <v>46</v>
      </c>
      <c r="G900" s="1" t="s">
        <v>958</v>
      </c>
      <c r="H900">
        <v>899</v>
      </c>
      <c r="I900" s="1" t="s">
        <v>36</v>
      </c>
      <c r="J900" s="1" t="s">
        <v>59</v>
      </c>
      <c r="K900" s="1" t="s">
        <v>32</v>
      </c>
      <c r="L900" s="1" t="s">
        <v>33</v>
      </c>
      <c r="M900">
        <v>35</v>
      </c>
      <c r="N900">
        <v>46564</v>
      </c>
      <c r="O900">
        <v>3</v>
      </c>
      <c r="P900">
        <v>2</v>
      </c>
      <c r="Q900">
        <v>35</v>
      </c>
      <c r="R900">
        <v>32</v>
      </c>
      <c r="S900">
        <v>4</v>
      </c>
      <c r="T900">
        <v>2</v>
      </c>
      <c r="U900">
        <v>4</v>
      </c>
      <c r="V900">
        <v>11</v>
      </c>
      <c r="W900">
        <v>2</v>
      </c>
    </row>
    <row r="901" spans="1:23" x14ac:dyDescent="0.25">
      <c r="A901" s="1" t="s">
        <v>23</v>
      </c>
      <c r="B901" s="1" t="s">
        <v>54</v>
      </c>
      <c r="C901" s="1" t="s">
        <v>65</v>
      </c>
      <c r="D901" s="1" t="s">
        <v>26</v>
      </c>
      <c r="E901" s="1" t="s">
        <v>60</v>
      </c>
      <c r="F901" s="1" t="s">
        <v>52</v>
      </c>
      <c r="G901" s="1" t="s">
        <v>959</v>
      </c>
      <c r="H901">
        <v>900</v>
      </c>
      <c r="I901" s="1" t="s">
        <v>36</v>
      </c>
      <c r="J901" s="1" t="s">
        <v>64</v>
      </c>
      <c r="K901" s="1" t="s">
        <v>38</v>
      </c>
      <c r="L901" s="1" t="s">
        <v>33</v>
      </c>
      <c r="M901">
        <v>39</v>
      </c>
      <c r="N901">
        <v>80604</v>
      </c>
      <c r="O901">
        <v>2</v>
      </c>
      <c r="P901">
        <v>2</v>
      </c>
      <c r="Q901">
        <v>13</v>
      </c>
      <c r="R901">
        <v>22</v>
      </c>
      <c r="S901">
        <v>1</v>
      </c>
      <c r="T901">
        <v>3</v>
      </c>
      <c r="U901">
        <v>4</v>
      </c>
      <c r="V901">
        <v>29</v>
      </c>
      <c r="W901">
        <v>1</v>
      </c>
    </row>
    <row r="902" spans="1:23" x14ac:dyDescent="0.25">
      <c r="A902" s="1" t="s">
        <v>23</v>
      </c>
      <c r="B902" s="1" t="s">
        <v>24</v>
      </c>
      <c r="C902" s="1" t="s">
        <v>34</v>
      </c>
      <c r="D902" s="1" t="s">
        <v>26</v>
      </c>
      <c r="E902" s="1" t="s">
        <v>55</v>
      </c>
      <c r="F902" s="1" t="s">
        <v>66</v>
      </c>
      <c r="G902" s="1" t="s">
        <v>960</v>
      </c>
      <c r="H902">
        <v>901</v>
      </c>
      <c r="I902" s="1" t="s">
        <v>30</v>
      </c>
      <c r="J902" s="1" t="s">
        <v>43</v>
      </c>
      <c r="K902" s="1" t="s">
        <v>38</v>
      </c>
      <c r="L902" s="1" t="s">
        <v>23</v>
      </c>
      <c r="M902">
        <v>28</v>
      </c>
      <c r="N902">
        <v>160705</v>
      </c>
      <c r="O902">
        <v>1</v>
      </c>
      <c r="P902">
        <v>2</v>
      </c>
      <c r="Q902">
        <v>15</v>
      </c>
      <c r="R902">
        <v>37</v>
      </c>
      <c r="S902">
        <v>0</v>
      </c>
      <c r="T902">
        <v>2</v>
      </c>
      <c r="U902">
        <v>4</v>
      </c>
      <c r="V902">
        <v>7</v>
      </c>
      <c r="W902">
        <v>2</v>
      </c>
    </row>
    <row r="903" spans="1:23" x14ac:dyDescent="0.25">
      <c r="A903" s="1" t="s">
        <v>23</v>
      </c>
      <c r="B903" s="1" t="s">
        <v>24</v>
      </c>
      <c r="C903" s="1" t="s">
        <v>34</v>
      </c>
      <c r="D903" s="1" t="s">
        <v>26</v>
      </c>
      <c r="E903" s="1" t="s">
        <v>55</v>
      </c>
      <c r="F903" s="1" t="s">
        <v>68</v>
      </c>
      <c r="G903" s="1" t="s">
        <v>961</v>
      </c>
      <c r="H903">
        <v>902</v>
      </c>
      <c r="I903" s="1" t="s">
        <v>30</v>
      </c>
      <c r="J903" s="1" t="s">
        <v>31</v>
      </c>
      <c r="K903" s="1" t="s">
        <v>50</v>
      </c>
      <c r="L903" s="1" t="s">
        <v>23</v>
      </c>
      <c r="M903">
        <v>41</v>
      </c>
      <c r="N903">
        <v>120063</v>
      </c>
      <c r="O903">
        <v>1</v>
      </c>
      <c r="P903">
        <v>4</v>
      </c>
      <c r="Q903">
        <v>32</v>
      </c>
      <c r="R903">
        <v>26</v>
      </c>
      <c r="S903">
        <v>6</v>
      </c>
      <c r="T903">
        <v>1</v>
      </c>
      <c r="U903">
        <v>3</v>
      </c>
      <c r="V903">
        <v>30</v>
      </c>
      <c r="W903">
        <v>2</v>
      </c>
    </row>
    <row r="904" spans="1:23" x14ac:dyDescent="0.25">
      <c r="A904" s="1" t="s">
        <v>23</v>
      </c>
      <c r="B904" s="1" t="s">
        <v>54</v>
      </c>
      <c r="C904" s="1" t="s">
        <v>25</v>
      </c>
      <c r="D904" s="1" t="s">
        <v>26</v>
      </c>
      <c r="E904" s="1" t="s">
        <v>60</v>
      </c>
      <c r="F904" s="1" t="s">
        <v>66</v>
      </c>
      <c r="G904" s="1" t="s">
        <v>962</v>
      </c>
      <c r="H904">
        <v>903</v>
      </c>
      <c r="I904" s="1" t="s">
        <v>36</v>
      </c>
      <c r="J904" s="1" t="s">
        <v>41</v>
      </c>
      <c r="K904" s="1" t="s">
        <v>50</v>
      </c>
      <c r="L904" s="1" t="s">
        <v>33</v>
      </c>
      <c r="M904">
        <v>59</v>
      </c>
      <c r="N904">
        <v>155329</v>
      </c>
      <c r="O904">
        <v>1</v>
      </c>
      <c r="P904">
        <v>2</v>
      </c>
      <c r="Q904">
        <v>24</v>
      </c>
      <c r="R904">
        <v>21</v>
      </c>
      <c r="S904">
        <v>3</v>
      </c>
      <c r="T904">
        <v>4</v>
      </c>
      <c r="U904">
        <v>4</v>
      </c>
      <c r="V904">
        <v>24</v>
      </c>
      <c r="W904">
        <v>3</v>
      </c>
    </row>
    <row r="905" spans="1:23" x14ac:dyDescent="0.25">
      <c r="A905" s="1" t="s">
        <v>23</v>
      </c>
      <c r="B905" s="1" t="s">
        <v>44</v>
      </c>
      <c r="C905" s="1" t="s">
        <v>39</v>
      </c>
      <c r="D905" s="1" t="s">
        <v>26</v>
      </c>
      <c r="E905" s="1" t="s">
        <v>46</v>
      </c>
      <c r="F905" s="1" t="s">
        <v>66</v>
      </c>
      <c r="G905" s="1" t="s">
        <v>963</v>
      </c>
      <c r="H905">
        <v>904</v>
      </c>
      <c r="I905" s="1" t="s">
        <v>30</v>
      </c>
      <c r="J905" s="1" t="s">
        <v>41</v>
      </c>
      <c r="K905" s="1" t="s">
        <v>38</v>
      </c>
      <c r="L905" s="1" t="s">
        <v>23</v>
      </c>
      <c r="M905">
        <v>29</v>
      </c>
      <c r="N905">
        <v>33189</v>
      </c>
      <c r="O905">
        <v>1</v>
      </c>
      <c r="P905">
        <v>3</v>
      </c>
      <c r="Q905">
        <v>38</v>
      </c>
      <c r="R905">
        <v>4</v>
      </c>
      <c r="S905">
        <v>6</v>
      </c>
      <c r="T905">
        <v>1</v>
      </c>
      <c r="U905">
        <v>4</v>
      </c>
      <c r="V905">
        <v>4</v>
      </c>
      <c r="W905">
        <v>5</v>
      </c>
    </row>
    <row r="906" spans="1:23" x14ac:dyDescent="0.25">
      <c r="A906" s="1" t="s">
        <v>23</v>
      </c>
      <c r="B906" s="1" t="s">
        <v>44</v>
      </c>
      <c r="C906" s="1" t="s">
        <v>34</v>
      </c>
      <c r="D906" s="1" t="s">
        <v>26</v>
      </c>
      <c r="E906" s="1" t="s">
        <v>51</v>
      </c>
      <c r="F906" s="1" t="s">
        <v>46</v>
      </c>
      <c r="G906" s="1" t="s">
        <v>964</v>
      </c>
      <c r="H906">
        <v>905</v>
      </c>
      <c r="I906" s="1" t="s">
        <v>30</v>
      </c>
      <c r="J906" s="1" t="s">
        <v>43</v>
      </c>
      <c r="K906" s="1" t="s">
        <v>50</v>
      </c>
      <c r="L906" s="1" t="s">
        <v>23</v>
      </c>
      <c r="M906">
        <v>33</v>
      </c>
      <c r="N906">
        <v>62721</v>
      </c>
      <c r="O906">
        <v>2</v>
      </c>
      <c r="P906">
        <v>2</v>
      </c>
      <c r="Q906">
        <v>38</v>
      </c>
      <c r="R906">
        <v>38</v>
      </c>
      <c r="S906">
        <v>4</v>
      </c>
      <c r="T906">
        <v>2</v>
      </c>
      <c r="U906">
        <v>3</v>
      </c>
      <c r="V906">
        <v>8</v>
      </c>
      <c r="W906">
        <v>4</v>
      </c>
    </row>
    <row r="907" spans="1:23" x14ac:dyDescent="0.25">
      <c r="A907" s="1" t="s">
        <v>23</v>
      </c>
      <c r="B907" s="1" t="s">
        <v>24</v>
      </c>
      <c r="C907" s="1" t="s">
        <v>34</v>
      </c>
      <c r="D907" s="1" t="s">
        <v>26</v>
      </c>
      <c r="E907" s="1" t="s">
        <v>60</v>
      </c>
      <c r="F907" s="1" t="s">
        <v>46</v>
      </c>
      <c r="G907" s="1" t="s">
        <v>965</v>
      </c>
      <c r="H907">
        <v>906</v>
      </c>
      <c r="I907" s="1" t="s">
        <v>30</v>
      </c>
      <c r="J907" s="1" t="s">
        <v>76</v>
      </c>
      <c r="K907" s="1" t="s">
        <v>50</v>
      </c>
      <c r="L907" s="1" t="s">
        <v>23</v>
      </c>
      <c r="M907">
        <v>23</v>
      </c>
      <c r="N907">
        <v>114163</v>
      </c>
      <c r="O907">
        <v>1</v>
      </c>
      <c r="P907">
        <v>3</v>
      </c>
      <c r="Q907">
        <v>15</v>
      </c>
      <c r="R907">
        <v>31</v>
      </c>
      <c r="S907">
        <v>3</v>
      </c>
      <c r="T907">
        <v>4</v>
      </c>
      <c r="U907">
        <v>4</v>
      </c>
      <c r="V907">
        <v>26</v>
      </c>
      <c r="W907">
        <v>1</v>
      </c>
    </row>
    <row r="908" spans="1:23" x14ac:dyDescent="0.25">
      <c r="A908" s="1" t="s">
        <v>23</v>
      </c>
      <c r="B908" s="1" t="s">
        <v>24</v>
      </c>
      <c r="C908" s="1" t="s">
        <v>25</v>
      </c>
      <c r="D908" s="1" t="s">
        <v>26</v>
      </c>
      <c r="E908" s="1" t="s">
        <v>46</v>
      </c>
      <c r="F908" s="1" t="s">
        <v>68</v>
      </c>
      <c r="G908" s="1" t="s">
        <v>966</v>
      </c>
      <c r="H908">
        <v>907</v>
      </c>
      <c r="I908" s="1" t="s">
        <v>30</v>
      </c>
      <c r="J908" s="1" t="s">
        <v>64</v>
      </c>
      <c r="K908" s="1" t="s">
        <v>50</v>
      </c>
      <c r="L908" s="1" t="s">
        <v>33</v>
      </c>
      <c r="M908">
        <v>54</v>
      </c>
      <c r="N908">
        <v>71262</v>
      </c>
      <c r="O908">
        <v>3</v>
      </c>
      <c r="P908">
        <v>4</v>
      </c>
      <c r="Q908">
        <v>25</v>
      </c>
      <c r="R908">
        <v>38</v>
      </c>
      <c r="S908">
        <v>0</v>
      </c>
      <c r="T908">
        <v>1</v>
      </c>
      <c r="U908">
        <v>4</v>
      </c>
      <c r="V908">
        <v>5</v>
      </c>
      <c r="W908">
        <v>4</v>
      </c>
    </row>
    <row r="909" spans="1:23" x14ac:dyDescent="0.25">
      <c r="A909" s="1" t="s">
        <v>23</v>
      </c>
      <c r="B909" s="1" t="s">
        <v>24</v>
      </c>
      <c r="C909" s="1" t="s">
        <v>65</v>
      </c>
      <c r="D909" s="1" t="s">
        <v>26</v>
      </c>
      <c r="E909" s="1" t="s">
        <v>55</v>
      </c>
      <c r="F909" s="1" t="s">
        <v>28</v>
      </c>
      <c r="G909" s="1" t="s">
        <v>967</v>
      </c>
      <c r="H909">
        <v>908</v>
      </c>
      <c r="I909" s="1" t="s">
        <v>30</v>
      </c>
      <c r="J909" s="1" t="s">
        <v>76</v>
      </c>
      <c r="K909" s="1" t="s">
        <v>38</v>
      </c>
      <c r="L909" s="1" t="s">
        <v>23</v>
      </c>
      <c r="M909">
        <v>24</v>
      </c>
      <c r="N909">
        <v>130667</v>
      </c>
      <c r="O909">
        <v>2</v>
      </c>
      <c r="P909">
        <v>4</v>
      </c>
      <c r="Q909">
        <v>36</v>
      </c>
      <c r="R909">
        <v>6</v>
      </c>
      <c r="S909">
        <v>3</v>
      </c>
      <c r="T909">
        <v>4</v>
      </c>
      <c r="U909">
        <v>4</v>
      </c>
      <c r="V909">
        <v>25</v>
      </c>
      <c r="W909">
        <v>5</v>
      </c>
    </row>
    <row r="910" spans="1:23" x14ac:dyDescent="0.25">
      <c r="A910" s="1" t="s">
        <v>23</v>
      </c>
      <c r="B910" s="1" t="s">
        <v>54</v>
      </c>
      <c r="C910" s="1" t="s">
        <v>34</v>
      </c>
      <c r="D910" s="1" t="s">
        <v>26</v>
      </c>
      <c r="E910" s="1" t="s">
        <v>55</v>
      </c>
      <c r="F910" s="1" t="s">
        <v>46</v>
      </c>
      <c r="G910" s="1" t="s">
        <v>968</v>
      </c>
      <c r="H910">
        <v>909</v>
      </c>
      <c r="I910" s="1" t="s">
        <v>36</v>
      </c>
      <c r="J910" s="1" t="s">
        <v>64</v>
      </c>
      <c r="K910" s="1" t="s">
        <v>50</v>
      </c>
      <c r="L910" s="1" t="s">
        <v>33</v>
      </c>
      <c r="M910">
        <v>40</v>
      </c>
      <c r="N910">
        <v>163366</v>
      </c>
      <c r="O910">
        <v>1</v>
      </c>
      <c r="P910">
        <v>4</v>
      </c>
      <c r="Q910">
        <v>12</v>
      </c>
      <c r="R910">
        <v>21</v>
      </c>
      <c r="S910">
        <v>2</v>
      </c>
      <c r="T910">
        <v>2</v>
      </c>
      <c r="U910">
        <v>4</v>
      </c>
      <c r="V910">
        <v>28</v>
      </c>
      <c r="W910">
        <v>5</v>
      </c>
    </row>
    <row r="911" spans="1:23" x14ac:dyDescent="0.25">
      <c r="A911" s="1" t="s">
        <v>23</v>
      </c>
      <c r="B911" s="1" t="s">
        <v>24</v>
      </c>
      <c r="C911" s="1" t="s">
        <v>39</v>
      </c>
      <c r="D911" s="1" t="s">
        <v>26</v>
      </c>
      <c r="E911" s="1" t="s">
        <v>40</v>
      </c>
      <c r="F911" s="1" t="s">
        <v>28</v>
      </c>
      <c r="G911" s="1" t="s">
        <v>969</v>
      </c>
      <c r="H911">
        <v>910</v>
      </c>
      <c r="I911" s="1" t="s">
        <v>30</v>
      </c>
      <c r="J911" s="1" t="s">
        <v>37</v>
      </c>
      <c r="K911" s="1" t="s">
        <v>32</v>
      </c>
      <c r="L911" s="1" t="s">
        <v>33</v>
      </c>
      <c r="M911">
        <v>24</v>
      </c>
      <c r="N911">
        <v>44863</v>
      </c>
      <c r="O911">
        <v>3</v>
      </c>
      <c r="P911">
        <v>4</v>
      </c>
      <c r="Q911">
        <v>1</v>
      </c>
      <c r="R911">
        <v>38</v>
      </c>
      <c r="S911">
        <v>6</v>
      </c>
      <c r="T911">
        <v>1</v>
      </c>
      <c r="U911">
        <v>4</v>
      </c>
      <c r="V911">
        <v>19</v>
      </c>
      <c r="W911">
        <v>5</v>
      </c>
    </row>
    <row r="912" spans="1:23" x14ac:dyDescent="0.25">
      <c r="A912" s="1" t="s">
        <v>23</v>
      </c>
      <c r="B912" s="1" t="s">
        <v>54</v>
      </c>
      <c r="C912" s="1" t="s">
        <v>65</v>
      </c>
      <c r="D912" s="1" t="s">
        <v>26</v>
      </c>
      <c r="E912" s="1" t="s">
        <v>27</v>
      </c>
      <c r="F912" s="1" t="s">
        <v>28</v>
      </c>
      <c r="G912" s="1" t="s">
        <v>970</v>
      </c>
      <c r="H912">
        <v>911</v>
      </c>
      <c r="I912" s="1" t="s">
        <v>30</v>
      </c>
      <c r="J912" s="1" t="s">
        <v>86</v>
      </c>
      <c r="K912" s="1" t="s">
        <v>38</v>
      </c>
      <c r="L912" s="1" t="s">
        <v>33</v>
      </c>
      <c r="M912">
        <v>46</v>
      </c>
      <c r="N912">
        <v>174722</v>
      </c>
      <c r="O912">
        <v>4</v>
      </c>
      <c r="P912">
        <v>4</v>
      </c>
      <c r="Q912">
        <v>18</v>
      </c>
      <c r="R912">
        <v>35</v>
      </c>
      <c r="S912">
        <v>5</v>
      </c>
      <c r="T912">
        <v>4</v>
      </c>
      <c r="U912">
        <v>3</v>
      </c>
      <c r="V912">
        <v>29</v>
      </c>
      <c r="W912">
        <v>5</v>
      </c>
    </row>
    <row r="913" spans="1:23" x14ac:dyDescent="0.25">
      <c r="A913" s="1" t="s">
        <v>23</v>
      </c>
      <c r="B913" s="1" t="s">
        <v>54</v>
      </c>
      <c r="C913" s="1" t="s">
        <v>39</v>
      </c>
      <c r="D913" s="1" t="s">
        <v>26</v>
      </c>
      <c r="E913" s="1" t="s">
        <v>27</v>
      </c>
      <c r="F913" s="1" t="s">
        <v>68</v>
      </c>
      <c r="G913" s="1" t="s">
        <v>971</v>
      </c>
      <c r="H913">
        <v>912</v>
      </c>
      <c r="I913" s="1" t="s">
        <v>30</v>
      </c>
      <c r="J913" s="1" t="s">
        <v>70</v>
      </c>
      <c r="K913" s="1" t="s">
        <v>38</v>
      </c>
      <c r="L913" s="1" t="s">
        <v>33</v>
      </c>
      <c r="M913">
        <v>39</v>
      </c>
      <c r="N913">
        <v>23576</v>
      </c>
      <c r="O913">
        <v>3</v>
      </c>
      <c r="P913">
        <v>2</v>
      </c>
      <c r="Q913">
        <v>11</v>
      </c>
      <c r="R913">
        <v>12</v>
      </c>
      <c r="S913">
        <v>0</v>
      </c>
      <c r="T913">
        <v>2</v>
      </c>
      <c r="U913">
        <v>3</v>
      </c>
      <c r="V913">
        <v>10</v>
      </c>
      <c r="W913">
        <v>2</v>
      </c>
    </row>
    <row r="914" spans="1:23" x14ac:dyDescent="0.25">
      <c r="A914" s="1" t="s">
        <v>23</v>
      </c>
      <c r="B914" s="1" t="s">
        <v>54</v>
      </c>
      <c r="C914" s="1" t="s">
        <v>34</v>
      </c>
      <c r="D914" s="1" t="s">
        <v>26</v>
      </c>
      <c r="E914" s="1" t="s">
        <v>51</v>
      </c>
      <c r="F914" s="1" t="s">
        <v>66</v>
      </c>
      <c r="G914" s="1" t="s">
        <v>972</v>
      </c>
      <c r="H914">
        <v>913</v>
      </c>
      <c r="I914" s="1" t="s">
        <v>36</v>
      </c>
      <c r="J914" s="1" t="s">
        <v>43</v>
      </c>
      <c r="K914" s="1" t="s">
        <v>32</v>
      </c>
      <c r="L914" s="1" t="s">
        <v>33</v>
      </c>
      <c r="M914">
        <v>56</v>
      </c>
      <c r="N914">
        <v>141988</v>
      </c>
      <c r="O914">
        <v>2</v>
      </c>
      <c r="P914">
        <v>4</v>
      </c>
      <c r="Q914">
        <v>40</v>
      </c>
      <c r="R914">
        <v>7</v>
      </c>
      <c r="S914">
        <v>3</v>
      </c>
      <c r="T914">
        <v>4</v>
      </c>
      <c r="U914">
        <v>3</v>
      </c>
      <c r="V914">
        <v>21</v>
      </c>
      <c r="W914">
        <v>4</v>
      </c>
    </row>
    <row r="915" spans="1:23" x14ac:dyDescent="0.25">
      <c r="A915" s="1" t="s">
        <v>23</v>
      </c>
      <c r="B915" s="1" t="s">
        <v>54</v>
      </c>
      <c r="C915" s="1" t="s">
        <v>34</v>
      </c>
      <c r="D915" s="1" t="s">
        <v>26</v>
      </c>
      <c r="E915" s="1" t="s">
        <v>51</v>
      </c>
      <c r="F915" s="1" t="s">
        <v>28</v>
      </c>
      <c r="G915" s="1" t="s">
        <v>973</v>
      </c>
      <c r="H915">
        <v>914</v>
      </c>
      <c r="I915" s="1" t="s">
        <v>30</v>
      </c>
      <c r="J915" s="1" t="s">
        <v>37</v>
      </c>
      <c r="K915" s="1" t="s">
        <v>32</v>
      </c>
      <c r="L915" s="1" t="s">
        <v>23</v>
      </c>
      <c r="M915">
        <v>36</v>
      </c>
      <c r="N915">
        <v>154369</v>
      </c>
      <c r="O915">
        <v>2</v>
      </c>
      <c r="P915">
        <v>1</v>
      </c>
      <c r="Q915">
        <v>18</v>
      </c>
      <c r="R915">
        <v>0</v>
      </c>
      <c r="S915">
        <v>2</v>
      </c>
      <c r="T915">
        <v>4</v>
      </c>
      <c r="U915">
        <v>3</v>
      </c>
      <c r="V915">
        <v>5</v>
      </c>
      <c r="W915">
        <v>5</v>
      </c>
    </row>
    <row r="916" spans="1:23" x14ac:dyDescent="0.25">
      <c r="A916" s="1" t="s">
        <v>23</v>
      </c>
      <c r="B916" s="1" t="s">
        <v>24</v>
      </c>
      <c r="C916" s="1" t="s">
        <v>34</v>
      </c>
      <c r="D916" s="1" t="s">
        <v>26</v>
      </c>
      <c r="E916" s="1" t="s">
        <v>51</v>
      </c>
      <c r="F916" s="1" t="s">
        <v>68</v>
      </c>
      <c r="G916" s="1" t="s">
        <v>974</v>
      </c>
      <c r="H916">
        <v>915</v>
      </c>
      <c r="I916" s="1" t="s">
        <v>36</v>
      </c>
      <c r="J916" s="1" t="s">
        <v>59</v>
      </c>
      <c r="K916" s="1" t="s">
        <v>32</v>
      </c>
      <c r="L916" s="1" t="s">
        <v>33</v>
      </c>
      <c r="M916">
        <v>48</v>
      </c>
      <c r="N916">
        <v>87740</v>
      </c>
      <c r="O916">
        <v>1</v>
      </c>
      <c r="P916">
        <v>4</v>
      </c>
      <c r="Q916">
        <v>36</v>
      </c>
      <c r="R916">
        <v>24</v>
      </c>
      <c r="S916">
        <v>2</v>
      </c>
      <c r="T916">
        <v>4</v>
      </c>
      <c r="U916">
        <v>3</v>
      </c>
      <c r="V916">
        <v>30</v>
      </c>
      <c r="W916">
        <v>2</v>
      </c>
    </row>
    <row r="917" spans="1:23" x14ac:dyDescent="0.25">
      <c r="A917" s="1" t="s">
        <v>23</v>
      </c>
      <c r="B917" s="1" t="s">
        <v>24</v>
      </c>
      <c r="C917" s="1" t="s">
        <v>39</v>
      </c>
      <c r="D917" s="1" t="s">
        <v>26</v>
      </c>
      <c r="E917" s="1" t="s">
        <v>40</v>
      </c>
      <c r="F917" s="1" t="s">
        <v>52</v>
      </c>
      <c r="G917" s="1" t="s">
        <v>975</v>
      </c>
      <c r="H917">
        <v>916</v>
      </c>
      <c r="I917" s="1" t="s">
        <v>30</v>
      </c>
      <c r="J917" s="1" t="s">
        <v>48</v>
      </c>
      <c r="K917" s="1" t="s">
        <v>32</v>
      </c>
      <c r="L917" s="1" t="s">
        <v>23</v>
      </c>
      <c r="M917">
        <v>57</v>
      </c>
      <c r="N917">
        <v>106303</v>
      </c>
      <c r="O917">
        <v>1</v>
      </c>
      <c r="P917">
        <v>3</v>
      </c>
      <c r="Q917">
        <v>12</v>
      </c>
      <c r="R917">
        <v>17</v>
      </c>
      <c r="S917">
        <v>3</v>
      </c>
      <c r="T917">
        <v>2</v>
      </c>
      <c r="U917">
        <v>3</v>
      </c>
      <c r="V917">
        <v>19</v>
      </c>
      <c r="W917">
        <v>3</v>
      </c>
    </row>
    <row r="918" spans="1:23" x14ac:dyDescent="0.25">
      <c r="A918" s="1" t="s">
        <v>33</v>
      </c>
      <c r="B918" s="1" t="s">
        <v>24</v>
      </c>
      <c r="C918" s="1" t="s">
        <v>34</v>
      </c>
      <c r="D918" s="1" t="s">
        <v>73</v>
      </c>
      <c r="E918" s="1" t="s">
        <v>60</v>
      </c>
      <c r="F918" s="1" t="s">
        <v>28</v>
      </c>
      <c r="G918" s="1" t="s">
        <v>976</v>
      </c>
      <c r="H918">
        <v>917</v>
      </c>
      <c r="I918" s="1" t="s">
        <v>36</v>
      </c>
      <c r="J918" s="1" t="s">
        <v>48</v>
      </c>
      <c r="K918" s="1" t="s">
        <v>50</v>
      </c>
      <c r="L918" s="1" t="s">
        <v>33</v>
      </c>
      <c r="M918">
        <v>53</v>
      </c>
      <c r="N918">
        <v>131835</v>
      </c>
      <c r="O918">
        <v>4</v>
      </c>
      <c r="P918">
        <v>4</v>
      </c>
      <c r="Q918">
        <v>4</v>
      </c>
      <c r="R918">
        <v>3</v>
      </c>
      <c r="S918">
        <v>0</v>
      </c>
      <c r="T918">
        <v>4</v>
      </c>
      <c r="U918">
        <v>3</v>
      </c>
      <c r="V918">
        <v>3</v>
      </c>
      <c r="W918">
        <v>1</v>
      </c>
    </row>
    <row r="919" spans="1:23" x14ac:dyDescent="0.25">
      <c r="A919" s="1" t="s">
        <v>23</v>
      </c>
      <c r="B919" s="1" t="s">
        <v>24</v>
      </c>
      <c r="C919" s="1" t="s">
        <v>65</v>
      </c>
      <c r="D919" s="1" t="s">
        <v>26</v>
      </c>
      <c r="E919" s="1" t="s">
        <v>27</v>
      </c>
      <c r="F919" s="1" t="s">
        <v>66</v>
      </c>
      <c r="G919" s="1" t="s">
        <v>977</v>
      </c>
      <c r="H919">
        <v>918</v>
      </c>
      <c r="I919" s="1" t="s">
        <v>30</v>
      </c>
      <c r="J919" s="1" t="s">
        <v>41</v>
      </c>
      <c r="K919" s="1" t="s">
        <v>32</v>
      </c>
      <c r="L919" s="1" t="s">
        <v>33</v>
      </c>
      <c r="M919">
        <v>60</v>
      </c>
      <c r="N919">
        <v>91202</v>
      </c>
      <c r="O919">
        <v>1</v>
      </c>
      <c r="P919">
        <v>3</v>
      </c>
      <c r="Q919">
        <v>40</v>
      </c>
      <c r="R919">
        <v>38</v>
      </c>
      <c r="S919">
        <v>0</v>
      </c>
      <c r="T919">
        <v>3</v>
      </c>
      <c r="U919">
        <v>3</v>
      </c>
      <c r="V919">
        <v>15</v>
      </c>
      <c r="W919">
        <v>4</v>
      </c>
    </row>
    <row r="920" spans="1:23" x14ac:dyDescent="0.25">
      <c r="A920" s="1" t="s">
        <v>23</v>
      </c>
      <c r="B920" s="1" t="s">
        <v>24</v>
      </c>
      <c r="C920" s="1" t="s">
        <v>65</v>
      </c>
      <c r="D920" s="1" t="s">
        <v>26</v>
      </c>
      <c r="E920" s="1" t="s">
        <v>51</v>
      </c>
      <c r="F920" s="1" t="s">
        <v>41</v>
      </c>
      <c r="G920" s="1" t="s">
        <v>978</v>
      </c>
      <c r="H920">
        <v>919</v>
      </c>
      <c r="I920" s="1" t="s">
        <v>36</v>
      </c>
      <c r="J920" s="1" t="s">
        <v>41</v>
      </c>
      <c r="K920" s="1" t="s">
        <v>32</v>
      </c>
      <c r="L920" s="1" t="s">
        <v>33</v>
      </c>
      <c r="M920">
        <v>24</v>
      </c>
      <c r="N920">
        <v>114563</v>
      </c>
      <c r="O920">
        <v>2</v>
      </c>
      <c r="P920">
        <v>3</v>
      </c>
      <c r="Q920">
        <v>17</v>
      </c>
      <c r="R920">
        <v>1</v>
      </c>
      <c r="S920">
        <v>3</v>
      </c>
      <c r="T920">
        <v>4</v>
      </c>
      <c r="U920">
        <v>4</v>
      </c>
      <c r="V920">
        <v>20</v>
      </c>
      <c r="W920">
        <v>3</v>
      </c>
    </row>
    <row r="921" spans="1:23" x14ac:dyDescent="0.25">
      <c r="A921" s="1" t="s">
        <v>23</v>
      </c>
      <c r="B921" s="1" t="s">
        <v>24</v>
      </c>
      <c r="C921" s="1" t="s">
        <v>25</v>
      </c>
      <c r="D921" s="1" t="s">
        <v>26</v>
      </c>
      <c r="E921" s="1" t="s">
        <v>40</v>
      </c>
      <c r="F921" s="1" t="s">
        <v>52</v>
      </c>
      <c r="G921" s="1" t="s">
        <v>979</v>
      </c>
      <c r="H921">
        <v>920</v>
      </c>
      <c r="I921" s="1" t="s">
        <v>36</v>
      </c>
      <c r="J921" s="1" t="s">
        <v>41</v>
      </c>
      <c r="K921" s="1" t="s">
        <v>32</v>
      </c>
      <c r="L921" s="1" t="s">
        <v>33</v>
      </c>
      <c r="M921">
        <v>59</v>
      </c>
      <c r="N921">
        <v>53964</v>
      </c>
      <c r="O921">
        <v>3</v>
      </c>
      <c r="P921">
        <v>1</v>
      </c>
      <c r="Q921">
        <v>35</v>
      </c>
      <c r="R921">
        <v>5</v>
      </c>
      <c r="S921">
        <v>5</v>
      </c>
      <c r="T921">
        <v>4</v>
      </c>
      <c r="U921">
        <v>4</v>
      </c>
      <c r="V921">
        <v>30</v>
      </c>
      <c r="W921">
        <v>4</v>
      </c>
    </row>
    <row r="922" spans="1:23" x14ac:dyDescent="0.25">
      <c r="A922" s="1" t="s">
        <v>33</v>
      </c>
      <c r="B922" s="1" t="s">
        <v>54</v>
      </c>
      <c r="C922" s="1" t="s">
        <v>57</v>
      </c>
      <c r="D922" s="1" t="s">
        <v>73</v>
      </c>
      <c r="E922" s="1" t="s">
        <v>51</v>
      </c>
      <c r="F922" s="1" t="s">
        <v>41</v>
      </c>
      <c r="G922" s="1" t="s">
        <v>980</v>
      </c>
      <c r="H922">
        <v>921</v>
      </c>
      <c r="I922" s="1" t="s">
        <v>30</v>
      </c>
      <c r="J922" s="1" t="s">
        <v>76</v>
      </c>
      <c r="K922" s="1" t="s">
        <v>50</v>
      </c>
      <c r="L922" s="1" t="s">
        <v>23</v>
      </c>
      <c r="M922">
        <v>54</v>
      </c>
      <c r="N922">
        <v>157863</v>
      </c>
      <c r="O922">
        <v>3</v>
      </c>
      <c r="P922">
        <v>1</v>
      </c>
      <c r="Q922">
        <v>12</v>
      </c>
      <c r="R922">
        <v>12</v>
      </c>
      <c r="S922">
        <v>1</v>
      </c>
      <c r="T922">
        <v>4</v>
      </c>
      <c r="U922">
        <v>3</v>
      </c>
      <c r="V922">
        <v>3</v>
      </c>
      <c r="W922">
        <v>2</v>
      </c>
    </row>
    <row r="923" spans="1:23" x14ac:dyDescent="0.25">
      <c r="A923" s="1" t="s">
        <v>33</v>
      </c>
      <c r="B923" s="1" t="s">
        <v>24</v>
      </c>
      <c r="C923" s="1" t="s">
        <v>34</v>
      </c>
      <c r="D923" s="1" t="s">
        <v>73</v>
      </c>
      <c r="E923" s="1" t="s">
        <v>46</v>
      </c>
      <c r="F923" s="1" t="s">
        <v>28</v>
      </c>
      <c r="G923" s="1" t="s">
        <v>981</v>
      </c>
      <c r="H923">
        <v>922</v>
      </c>
      <c r="I923" s="1" t="s">
        <v>36</v>
      </c>
      <c r="J923" s="1" t="s">
        <v>41</v>
      </c>
      <c r="K923" s="1" t="s">
        <v>50</v>
      </c>
      <c r="L923" s="1" t="s">
        <v>23</v>
      </c>
      <c r="M923">
        <v>55</v>
      </c>
      <c r="N923">
        <v>38748</v>
      </c>
      <c r="O923">
        <v>4</v>
      </c>
      <c r="P923">
        <v>1</v>
      </c>
      <c r="Q923">
        <v>13</v>
      </c>
      <c r="R923">
        <v>10</v>
      </c>
      <c r="S923">
        <v>5</v>
      </c>
      <c r="T923">
        <v>1</v>
      </c>
      <c r="U923">
        <v>3</v>
      </c>
      <c r="V923">
        <v>20</v>
      </c>
      <c r="W923">
        <v>2</v>
      </c>
    </row>
    <row r="924" spans="1:23" x14ac:dyDescent="0.25">
      <c r="A924" s="1" t="s">
        <v>23</v>
      </c>
      <c r="B924" s="1" t="s">
        <v>24</v>
      </c>
      <c r="C924" s="1" t="s">
        <v>34</v>
      </c>
      <c r="D924" s="1" t="s">
        <v>26</v>
      </c>
      <c r="E924" s="1" t="s">
        <v>40</v>
      </c>
      <c r="F924" s="1" t="s">
        <v>41</v>
      </c>
      <c r="G924" s="1" t="s">
        <v>982</v>
      </c>
      <c r="H924">
        <v>923</v>
      </c>
      <c r="I924" s="1" t="s">
        <v>36</v>
      </c>
      <c r="J924" s="1" t="s">
        <v>70</v>
      </c>
      <c r="K924" s="1" t="s">
        <v>38</v>
      </c>
      <c r="L924" s="1" t="s">
        <v>23</v>
      </c>
      <c r="M924">
        <v>55</v>
      </c>
      <c r="N924">
        <v>168322</v>
      </c>
      <c r="O924">
        <v>3</v>
      </c>
      <c r="P924">
        <v>4</v>
      </c>
      <c r="Q924">
        <v>7</v>
      </c>
      <c r="R924">
        <v>12</v>
      </c>
      <c r="S924">
        <v>1</v>
      </c>
      <c r="T924">
        <v>4</v>
      </c>
      <c r="U924">
        <v>3</v>
      </c>
      <c r="V924">
        <v>29</v>
      </c>
      <c r="W924">
        <v>5</v>
      </c>
    </row>
    <row r="925" spans="1:23" x14ac:dyDescent="0.25">
      <c r="A925" s="1" t="s">
        <v>23</v>
      </c>
      <c r="B925" s="1" t="s">
        <v>54</v>
      </c>
      <c r="C925" s="1" t="s">
        <v>34</v>
      </c>
      <c r="D925" s="1" t="s">
        <v>26</v>
      </c>
      <c r="E925" s="1" t="s">
        <v>60</v>
      </c>
      <c r="F925" s="1" t="s">
        <v>28</v>
      </c>
      <c r="G925" s="1" t="s">
        <v>983</v>
      </c>
      <c r="H925">
        <v>924</v>
      </c>
      <c r="I925" s="1" t="s">
        <v>36</v>
      </c>
      <c r="J925" s="1" t="s">
        <v>64</v>
      </c>
      <c r="K925" s="1" t="s">
        <v>50</v>
      </c>
      <c r="L925" s="1" t="s">
        <v>23</v>
      </c>
      <c r="M925">
        <v>39</v>
      </c>
      <c r="N925">
        <v>151763</v>
      </c>
      <c r="O925">
        <v>1</v>
      </c>
      <c r="P925">
        <v>1</v>
      </c>
      <c r="Q925">
        <v>27</v>
      </c>
      <c r="R925">
        <v>17</v>
      </c>
      <c r="S925">
        <v>2</v>
      </c>
      <c r="T925">
        <v>1</v>
      </c>
      <c r="U925">
        <v>3</v>
      </c>
      <c r="V925">
        <v>15</v>
      </c>
      <c r="W925">
        <v>2</v>
      </c>
    </row>
    <row r="926" spans="1:23" x14ac:dyDescent="0.25">
      <c r="A926" s="1" t="s">
        <v>23</v>
      </c>
      <c r="B926" s="1" t="s">
        <v>44</v>
      </c>
      <c r="C926" s="1" t="s">
        <v>65</v>
      </c>
      <c r="D926" s="1" t="s">
        <v>26</v>
      </c>
      <c r="E926" s="1" t="s">
        <v>40</v>
      </c>
      <c r="F926" s="1" t="s">
        <v>41</v>
      </c>
      <c r="G926" s="1" t="s">
        <v>984</v>
      </c>
      <c r="H926">
        <v>925</v>
      </c>
      <c r="I926" s="1" t="s">
        <v>30</v>
      </c>
      <c r="J926" s="1" t="s">
        <v>70</v>
      </c>
      <c r="K926" s="1" t="s">
        <v>38</v>
      </c>
      <c r="L926" s="1" t="s">
        <v>23</v>
      </c>
      <c r="M926">
        <v>53</v>
      </c>
      <c r="N926">
        <v>62647</v>
      </c>
      <c r="O926">
        <v>2</v>
      </c>
      <c r="P926">
        <v>1</v>
      </c>
      <c r="Q926">
        <v>0</v>
      </c>
      <c r="R926">
        <v>10</v>
      </c>
      <c r="S926">
        <v>5</v>
      </c>
      <c r="T926">
        <v>1</v>
      </c>
      <c r="U926">
        <v>4</v>
      </c>
      <c r="V926">
        <v>29</v>
      </c>
      <c r="W926">
        <v>5</v>
      </c>
    </row>
    <row r="927" spans="1:23" x14ac:dyDescent="0.25">
      <c r="A927" s="1" t="s">
        <v>23</v>
      </c>
      <c r="B927" s="1" t="s">
        <v>24</v>
      </c>
      <c r="C927" s="1" t="s">
        <v>34</v>
      </c>
      <c r="D927" s="1" t="s">
        <v>26</v>
      </c>
      <c r="E927" s="1" t="s">
        <v>46</v>
      </c>
      <c r="F927" s="1" t="s">
        <v>46</v>
      </c>
      <c r="G927" s="1" t="s">
        <v>985</v>
      </c>
      <c r="H927">
        <v>926</v>
      </c>
      <c r="I927" s="1" t="s">
        <v>36</v>
      </c>
      <c r="J927" s="1" t="s">
        <v>70</v>
      </c>
      <c r="K927" s="1" t="s">
        <v>32</v>
      </c>
      <c r="L927" s="1" t="s">
        <v>23</v>
      </c>
      <c r="M927">
        <v>52</v>
      </c>
      <c r="N927">
        <v>176988</v>
      </c>
      <c r="O927">
        <v>4</v>
      </c>
      <c r="P927">
        <v>2</v>
      </c>
      <c r="Q927">
        <v>27</v>
      </c>
      <c r="R927">
        <v>14</v>
      </c>
      <c r="S927">
        <v>6</v>
      </c>
      <c r="T927">
        <v>2</v>
      </c>
      <c r="U927">
        <v>3</v>
      </c>
      <c r="V927">
        <v>28</v>
      </c>
      <c r="W927">
        <v>5</v>
      </c>
    </row>
    <row r="928" spans="1:23" x14ac:dyDescent="0.25">
      <c r="A928" s="1" t="s">
        <v>23</v>
      </c>
      <c r="B928" s="1" t="s">
        <v>44</v>
      </c>
      <c r="C928" s="1" t="s">
        <v>39</v>
      </c>
      <c r="D928" s="1" t="s">
        <v>26</v>
      </c>
      <c r="E928" s="1" t="s">
        <v>27</v>
      </c>
      <c r="F928" s="1" t="s">
        <v>66</v>
      </c>
      <c r="G928" s="1" t="s">
        <v>986</v>
      </c>
      <c r="H928">
        <v>927</v>
      </c>
      <c r="I928" s="1" t="s">
        <v>36</v>
      </c>
      <c r="J928" s="1" t="s">
        <v>48</v>
      </c>
      <c r="K928" s="1" t="s">
        <v>32</v>
      </c>
      <c r="L928" s="1" t="s">
        <v>23</v>
      </c>
      <c r="M928">
        <v>22</v>
      </c>
      <c r="N928">
        <v>147191</v>
      </c>
      <c r="O928">
        <v>4</v>
      </c>
      <c r="P928">
        <v>4</v>
      </c>
      <c r="Q928">
        <v>7</v>
      </c>
      <c r="R928">
        <v>29</v>
      </c>
      <c r="S928">
        <v>3</v>
      </c>
      <c r="T928">
        <v>1</v>
      </c>
      <c r="U928">
        <v>4</v>
      </c>
      <c r="V928">
        <v>28</v>
      </c>
      <c r="W928">
        <v>4</v>
      </c>
    </row>
    <row r="929" spans="1:23" x14ac:dyDescent="0.25">
      <c r="A929" s="1" t="s">
        <v>23</v>
      </c>
      <c r="B929" s="1" t="s">
        <v>24</v>
      </c>
      <c r="C929" s="1" t="s">
        <v>34</v>
      </c>
      <c r="D929" s="1" t="s">
        <v>26</v>
      </c>
      <c r="E929" s="1" t="s">
        <v>55</v>
      </c>
      <c r="F929" s="1" t="s">
        <v>46</v>
      </c>
      <c r="G929" s="1" t="s">
        <v>987</v>
      </c>
      <c r="H929">
        <v>928</v>
      </c>
      <c r="I929" s="1" t="s">
        <v>30</v>
      </c>
      <c r="J929" s="1" t="s">
        <v>41</v>
      </c>
      <c r="K929" s="1" t="s">
        <v>32</v>
      </c>
      <c r="L929" s="1" t="s">
        <v>33</v>
      </c>
      <c r="M929">
        <v>26</v>
      </c>
      <c r="N929">
        <v>62810</v>
      </c>
      <c r="O929">
        <v>2</v>
      </c>
      <c r="P929">
        <v>2</v>
      </c>
      <c r="Q929">
        <v>40</v>
      </c>
      <c r="R929">
        <v>22</v>
      </c>
      <c r="S929">
        <v>2</v>
      </c>
      <c r="T929">
        <v>2</v>
      </c>
      <c r="U929">
        <v>3</v>
      </c>
      <c r="V929">
        <v>13</v>
      </c>
      <c r="W929">
        <v>3</v>
      </c>
    </row>
    <row r="930" spans="1:23" x14ac:dyDescent="0.25">
      <c r="A930" s="1" t="s">
        <v>23</v>
      </c>
      <c r="B930" s="1" t="s">
        <v>24</v>
      </c>
      <c r="C930" s="1" t="s">
        <v>34</v>
      </c>
      <c r="D930" s="1" t="s">
        <v>26</v>
      </c>
      <c r="E930" s="1" t="s">
        <v>40</v>
      </c>
      <c r="F930" s="1" t="s">
        <v>52</v>
      </c>
      <c r="G930" s="1" t="s">
        <v>988</v>
      </c>
      <c r="H930">
        <v>929</v>
      </c>
      <c r="I930" s="1" t="s">
        <v>36</v>
      </c>
      <c r="J930" s="1" t="s">
        <v>41</v>
      </c>
      <c r="K930" s="1" t="s">
        <v>32</v>
      </c>
      <c r="L930" s="1" t="s">
        <v>33</v>
      </c>
      <c r="M930">
        <v>25</v>
      </c>
      <c r="N930">
        <v>155058</v>
      </c>
      <c r="O930">
        <v>2</v>
      </c>
      <c r="P930">
        <v>1</v>
      </c>
      <c r="Q930">
        <v>36</v>
      </c>
      <c r="R930">
        <v>8</v>
      </c>
      <c r="S930">
        <v>2</v>
      </c>
      <c r="T930">
        <v>4</v>
      </c>
      <c r="U930">
        <v>4</v>
      </c>
      <c r="V930">
        <v>25</v>
      </c>
      <c r="W930">
        <v>5</v>
      </c>
    </row>
    <row r="931" spans="1:23" x14ac:dyDescent="0.25">
      <c r="A931" s="1" t="s">
        <v>33</v>
      </c>
      <c r="B931" s="1" t="s">
        <v>54</v>
      </c>
      <c r="C931" s="1" t="s">
        <v>39</v>
      </c>
      <c r="D931" s="1" t="s">
        <v>73</v>
      </c>
      <c r="E931" s="1" t="s">
        <v>51</v>
      </c>
      <c r="F931" s="1" t="s">
        <v>46</v>
      </c>
      <c r="G931" s="1" t="s">
        <v>989</v>
      </c>
      <c r="H931">
        <v>930</v>
      </c>
      <c r="I931" s="1" t="s">
        <v>30</v>
      </c>
      <c r="J931" s="1" t="s">
        <v>41</v>
      </c>
      <c r="K931" s="1" t="s">
        <v>32</v>
      </c>
      <c r="L931" s="1" t="s">
        <v>23</v>
      </c>
      <c r="M931">
        <v>55</v>
      </c>
      <c r="N931">
        <v>22237</v>
      </c>
      <c r="O931">
        <v>2</v>
      </c>
      <c r="P931">
        <v>2</v>
      </c>
      <c r="Q931">
        <v>2</v>
      </c>
      <c r="R931">
        <v>21</v>
      </c>
      <c r="S931">
        <v>6</v>
      </c>
      <c r="T931">
        <v>1</v>
      </c>
      <c r="U931">
        <v>3</v>
      </c>
      <c r="V931">
        <v>22</v>
      </c>
      <c r="W931">
        <v>5</v>
      </c>
    </row>
    <row r="932" spans="1:23" x14ac:dyDescent="0.25">
      <c r="A932" s="1" t="s">
        <v>23</v>
      </c>
      <c r="B932" s="1" t="s">
        <v>54</v>
      </c>
      <c r="C932" s="1" t="s">
        <v>39</v>
      </c>
      <c r="D932" s="1" t="s">
        <v>26</v>
      </c>
      <c r="E932" s="1" t="s">
        <v>46</v>
      </c>
      <c r="F932" s="1" t="s">
        <v>46</v>
      </c>
      <c r="G932" s="1" t="s">
        <v>990</v>
      </c>
      <c r="H932">
        <v>931</v>
      </c>
      <c r="I932" s="1" t="s">
        <v>36</v>
      </c>
      <c r="J932" s="1" t="s">
        <v>70</v>
      </c>
      <c r="K932" s="1" t="s">
        <v>38</v>
      </c>
      <c r="L932" s="1" t="s">
        <v>23</v>
      </c>
      <c r="M932">
        <v>60</v>
      </c>
      <c r="N932">
        <v>152271</v>
      </c>
      <c r="O932">
        <v>1</v>
      </c>
      <c r="P932">
        <v>1</v>
      </c>
      <c r="Q932">
        <v>18</v>
      </c>
      <c r="R932">
        <v>22</v>
      </c>
      <c r="S932">
        <v>3</v>
      </c>
      <c r="T932">
        <v>4</v>
      </c>
      <c r="U932">
        <v>3</v>
      </c>
      <c r="V932">
        <v>23</v>
      </c>
      <c r="W932">
        <v>4</v>
      </c>
    </row>
    <row r="933" spans="1:23" x14ac:dyDescent="0.25">
      <c r="A933" s="1" t="s">
        <v>23</v>
      </c>
      <c r="B933" s="1" t="s">
        <v>54</v>
      </c>
      <c r="C933" s="1" t="s">
        <v>65</v>
      </c>
      <c r="D933" s="1" t="s">
        <v>26</v>
      </c>
      <c r="E933" s="1" t="s">
        <v>55</v>
      </c>
      <c r="F933" s="1" t="s">
        <v>68</v>
      </c>
      <c r="G933" s="1" t="s">
        <v>991</v>
      </c>
      <c r="H933">
        <v>932</v>
      </c>
      <c r="I933" s="1" t="s">
        <v>36</v>
      </c>
      <c r="J933" s="1" t="s">
        <v>41</v>
      </c>
      <c r="K933" s="1" t="s">
        <v>38</v>
      </c>
      <c r="L933" s="1" t="s">
        <v>33</v>
      </c>
      <c r="M933">
        <v>55</v>
      </c>
      <c r="N933">
        <v>66958</v>
      </c>
      <c r="O933">
        <v>1</v>
      </c>
      <c r="P933">
        <v>4</v>
      </c>
      <c r="Q933">
        <v>17</v>
      </c>
      <c r="R933">
        <v>24</v>
      </c>
      <c r="S933">
        <v>6</v>
      </c>
      <c r="T933">
        <v>1</v>
      </c>
      <c r="U933">
        <v>3</v>
      </c>
      <c r="V933">
        <v>24</v>
      </c>
      <c r="W933">
        <v>4</v>
      </c>
    </row>
    <row r="934" spans="1:23" x14ac:dyDescent="0.25">
      <c r="A934" s="1" t="s">
        <v>23</v>
      </c>
      <c r="B934" s="1" t="s">
        <v>54</v>
      </c>
      <c r="C934" s="1" t="s">
        <v>39</v>
      </c>
      <c r="D934" s="1" t="s">
        <v>26</v>
      </c>
      <c r="E934" s="1" t="s">
        <v>40</v>
      </c>
      <c r="F934" s="1" t="s">
        <v>28</v>
      </c>
      <c r="G934" s="1" t="s">
        <v>992</v>
      </c>
      <c r="H934">
        <v>933</v>
      </c>
      <c r="I934" s="1" t="s">
        <v>36</v>
      </c>
      <c r="J934" s="1" t="s">
        <v>59</v>
      </c>
      <c r="K934" s="1" t="s">
        <v>38</v>
      </c>
      <c r="L934" s="1" t="s">
        <v>33</v>
      </c>
      <c r="M934">
        <v>29</v>
      </c>
      <c r="N934">
        <v>101916</v>
      </c>
      <c r="O934">
        <v>2</v>
      </c>
      <c r="P934">
        <v>4</v>
      </c>
      <c r="Q934">
        <v>2</v>
      </c>
      <c r="R934">
        <v>41</v>
      </c>
      <c r="S934">
        <v>4</v>
      </c>
      <c r="T934">
        <v>3</v>
      </c>
      <c r="U934">
        <v>3</v>
      </c>
      <c r="V934">
        <v>13</v>
      </c>
      <c r="W934">
        <v>2</v>
      </c>
    </row>
    <row r="935" spans="1:23" x14ac:dyDescent="0.25">
      <c r="A935" s="1" t="s">
        <v>23</v>
      </c>
      <c r="B935" s="1" t="s">
        <v>24</v>
      </c>
      <c r="C935" s="1" t="s">
        <v>65</v>
      </c>
      <c r="D935" s="1" t="s">
        <v>26</v>
      </c>
      <c r="E935" s="1" t="s">
        <v>27</v>
      </c>
      <c r="F935" s="1" t="s">
        <v>52</v>
      </c>
      <c r="G935" s="1" t="s">
        <v>993</v>
      </c>
      <c r="H935">
        <v>934</v>
      </c>
      <c r="I935" s="1" t="s">
        <v>36</v>
      </c>
      <c r="J935" s="1" t="s">
        <v>64</v>
      </c>
      <c r="K935" s="1" t="s">
        <v>32</v>
      </c>
      <c r="L935" s="1" t="s">
        <v>23</v>
      </c>
      <c r="M935">
        <v>45</v>
      </c>
      <c r="N935">
        <v>117860</v>
      </c>
      <c r="O935">
        <v>3</v>
      </c>
      <c r="P935">
        <v>4</v>
      </c>
      <c r="Q935">
        <v>36</v>
      </c>
      <c r="R935">
        <v>2</v>
      </c>
      <c r="S935">
        <v>0</v>
      </c>
      <c r="T935">
        <v>1</v>
      </c>
      <c r="U935">
        <v>3</v>
      </c>
      <c r="V935">
        <v>9</v>
      </c>
      <c r="W935">
        <v>5</v>
      </c>
    </row>
    <row r="936" spans="1:23" x14ac:dyDescent="0.25">
      <c r="A936" s="1" t="s">
        <v>23</v>
      </c>
      <c r="B936" s="1" t="s">
        <v>44</v>
      </c>
      <c r="C936" s="1" t="s">
        <v>39</v>
      </c>
      <c r="D936" s="1" t="s">
        <v>26</v>
      </c>
      <c r="E936" s="1" t="s">
        <v>27</v>
      </c>
      <c r="F936" s="1" t="s">
        <v>46</v>
      </c>
      <c r="G936" s="1" t="s">
        <v>994</v>
      </c>
      <c r="H936">
        <v>935</v>
      </c>
      <c r="I936" s="1" t="s">
        <v>30</v>
      </c>
      <c r="J936" s="1" t="s">
        <v>59</v>
      </c>
      <c r="K936" s="1" t="s">
        <v>38</v>
      </c>
      <c r="L936" s="1" t="s">
        <v>23</v>
      </c>
      <c r="M936">
        <v>58</v>
      </c>
      <c r="N936">
        <v>121302</v>
      </c>
      <c r="O936">
        <v>2</v>
      </c>
      <c r="P936">
        <v>2</v>
      </c>
      <c r="Q936">
        <v>22</v>
      </c>
      <c r="R936">
        <v>39</v>
      </c>
      <c r="S936">
        <v>2</v>
      </c>
      <c r="T936">
        <v>2</v>
      </c>
      <c r="U936">
        <v>3</v>
      </c>
      <c r="V936">
        <v>21</v>
      </c>
      <c r="W936">
        <v>2</v>
      </c>
    </row>
    <row r="937" spans="1:23" x14ac:dyDescent="0.25">
      <c r="A937" s="1" t="s">
        <v>23</v>
      </c>
      <c r="B937" s="1" t="s">
        <v>44</v>
      </c>
      <c r="C937" s="1" t="s">
        <v>39</v>
      </c>
      <c r="D937" s="1" t="s">
        <v>26</v>
      </c>
      <c r="E937" s="1" t="s">
        <v>27</v>
      </c>
      <c r="F937" s="1" t="s">
        <v>28</v>
      </c>
      <c r="G937" s="1" t="s">
        <v>995</v>
      </c>
      <c r="H937">
        <v>936</v>
      </c>
      <c r="I937" s="1" t="s">
        <v>30</v>
      </c>
      <c r="J937" s="1" t="s">
        <v>59</v>
      </c>
      <c r="K937" s="1" t="s">
        <v>32</v>
      </c>
      <c r="L937" s="1" t="s">
        <v>33</v>
      </c>
      <c r="M937">
        <v>42</v>
      </c>
      <c r="N937">
        <v>124142</v>
      </c>
      <c r="O937">
        <v>2</v>
      </c>
      <c r="P937">
        <v>3</v>
      </c>
      <c r="Q937">
        <v>5</v>
      </c>
      <c r="R937">
        <v>20</v>
      </c>
      <c r="S937">
        <v>1</v>
      </c>
      <c r="T937">
        <v>3</v>
      </c>
      <c r="U937">
        <v>4</v>
      </c>
      <c r="V937">
        <v>6</v>
      </c>
      <c r="W937">
        <v>3</v>
      </c>
    </row>
    <row r="938" spans="1:23" x14ac:dyDescent="0.25">
      <c r="A938" s="1" t="s">
        <v>23</v>
      </c>
      <c r="B938" s="1" t="s">
        <v>44</v>
      </c>
      <c r="C938" s="1" t="s">
        <v>57</v>
      </c>
      <c r="D938" s="1" t="s">
        <v>26</v>
      </c>
      <c r="E938" s="1" t="s">
        <v>55</v>
      </c>
      <c r="F938" s="1" t="s">
        <v>41</v>
      </c>
      <c r="G938" s="1" t="s">
        <v>996</v>
      </c>
      <c r="H938">
        <v>937</v>
      </c>
      <c r="I938" s="1" t="s">
        <v>30</v>
      </c>
      <c r="J938" s="1" t="s">
        <v>48</v>
      </c>
      <c r="K938" s="1" t="s">
        <v>38</v>
      </c>
      <c r="L938" s="1" t="s">
        <v>23</v>
      </c>
      <c r="M938">
        <v>27</v>
      </c>
      <c r="N938">
        <v>76603</v>
      </c>
      <c r="O938">
        <v>1</v>
      </c>
      <c r="P938">
        <v>4</v>
      </c>
      <c r="Q938">
        <v>23</v>
      </c>
      <c r="R938">
        <v>23</v>
      </c>
      <c r="S938">
        <v>0</v>
      </c>
      <c r="T938">
        <v>4</v>
      </c>
      <c r="U938">
        <v>4</v>
      </c>
      <c r="V938">
        <v>13</v>
      </c>
      <c r="W938">
        <v>5</v>
      </c>
    </row>
    <row r="939" spans="1:23" x14ac:dyDescent="0.25">
      <c r="A939" s="1" t="s">
        <v>23</v>
      </c>
      <c r="B939" s="1" t="s">
        <v>54</v>
      </c>
      <c r="C939" s="1" t="s">
        <v>39</v>
      </c>
      <c r="D939" s="1" t="s">
        <v>26</v>
      </c>
      <c r="E939" s="1" t="s">
        <v>40</v>
      </c>
      <c r="F939" s="1" t="s">
        <v>46</v>
      </c>
      <c r="G939" s="1" t="s">
        <v>997</v>
      </c>
      <c r="H939">
        <v>938</v>
      </c>
      <c r="I939" s="1" t="s">
        <v>36</v>
      </c>
      <c r="J939" s="1" t="s">
        <v>48</v>
      </c>
      <c r="K939" s="1" t="s">
        <v>50</v>
      </c>
      <c r="L939" s="1" t="s">
        <v>33</v>
      </c>
      <c r="M939">
        <v>40</v>
      </c>
      <c r="N939">
        <v>49451</v>
      </c>
      <c r="O939">
        <v>1</v>
      </c>
      <c r="P939">
        <v>1</v>
      </c>
      <c r="Q939">
        <v>30</v>
      </c>
      <c r="R939">
        <v>38</v>
      </c>
      <c r="S939">
        <v>3</v>
      </c>
      <c r="T939">
        <v>2</v>
      </c>
      <c r="U939">
        <v>3</v>
      </c>
      <c r="V939">
        <v>7</v>
      </c>
      <c r="W939">
        <v>5</v>
      </c>
    </row>
    <row r="940" spans="1:23" x14ac:dyDescent="0.25">
      <c r="A940" s="1" t="s">
        <v>23</v>
      </c>
      <c r="B940" s="1" t="s">
        <v>44</v>
      </c>
      <c r="C940" s="1" t="s">
        <v>34</v>
      </c>
      <c r="D940" s="1" t="s">
        <v>26</v>
      </c>
      <c r="E940" s="1" t="s">
        <v>55</v>
      </c>
      <c r="F940" s="1" t="s">
        <v>66</v>
      </c>
      <c r="G940" s="1" t="s">
        <v>998</v>
      </c>
      <c r="H940">
        <v>939</v>
      </c>
      <c r="I940" s="1" t="s">
        <v>30</v>
      </c>
      <c r="J940" s="1" t="s">
        <v>37</v>
      </c>
      <c r="K940" s="1" t="s">
        <v>50</v>
      </c>
      <c r="L940" s="1" t="s">
        <v>23</v>
      </c>
      <c r="M940">
        <v>40</v>
      </c>
      <c r="N940">
        <v>41123</v>
      </c>
      <c r="O940">
        <v>3</v>
      </c>
      <c r="P940">
        <v>3</v>
      </c>
      <c r="Q940">
        <v>29</v>
      </c>
      <c r="R940">
        <v>6</v>
      </c>
      <c r="S940">
        <v>2</v>
      </c>
      <c r="T940">
        <v>3</v>
      </c>
      <c r="U940">
        <v>3</v>
      </c>
      <c r="V940">
        <v>4</v>
      </c>
      <c r="W940">
        <v>2</v>
      </c>
    </row>
    <row r="941" spans="1:23" x14ac:dyDescent="0.25">
      <c r="A941" s="1" t="s">
        <v>23</v>
      </c>
      <c r="B941" s="1" t="s">
        <v>44</v>
      </c>
      <c r="C941" s="1" t="s">
        <v>34</v>
      </c>
      <c r="D941" s="1" t="s">
        <v>26</v>
      </c>
      <c r="E941" s="1" t="s">
        <v>55</v>
      </c>
      <c r="F941" s="1" t="s">
        <v>68</v>
      </c>
      <c r="G941" s="1" t="s">
        <v>999</v>
      </c>
      <c r="H941">
        <v>940</v>
      </c>
      <c r="I941" s="1" t="s">
        <v>30</v>
      </c>
      <c r="J941" s="1" t="s">
        <v>48</v>
      </c>
      <c r="K941" s="1" t="s">
        <v>38</v>
      </c>
      <c r="L941" s="1" t="s">
        <v>23</v>
      </c>
      <c r="M941">
        <v>41</v>
      </c>
      <c r="N941">
        <v>30004</v>
      </c>
      <c r="O941">
        <v>1</v>
      </c>
      <c r="P941">
        <v>3</v>
      </c>
      <c r="Q941">
        <v>9</v>
      </c>
      <c r="R941">
        <v>41</v>
      </c>
      <c r="S941">
        <v>6</v>
      </c>
      <c r="T941">
        <v>1</v>
      </c>
      <c r="U941">
        <v>4</v>
      </c>
      <c r="V941">
        <v>25</v>
      </c>
      <c r="W941">
        <v>1</v>
      </c>
    </row>
    <row r="942" spans="1:23" x14ac:dyDescent="0.25">
      <c r="A942" s="1" t="s">
        <v>23</v>
      </c>
      <c r="B942" s="1" t="s">
        <v>44</v>
      </c>
      <c r="C942" s="1" t="s">
        <v>34</v>
      </c>
      <c r="D942" s="1" t="s">
        <v>26</v>
      </c>
      <c r="E942" s="1" t="s">
        <v>40</v>
      </c>
      <c r="F942" s="1" t="s">
        <v>41</v>
      </c>
      <c r="G942" s="1" t="s">
        <v>1000</v>
      </c>
      <c r="H942">
        <v>941</v>
      </c>
      <c r="I942" s="1" t="s">
        <v>30</v>
      </c>
      <c r="J942" s="1" t="s">
        <v>43</v>
      </c>
      <c r="K942" s="1" t="s">
        <v>32</v>
      </c>
      <c r="L942" s="1" t="s">
        <v>23</v>
      </c>
      <c r="M942">
        <v>56</v>
      </c>
      <c r="N942">
        <v>33765</v>
      </c>
      <c r="O942">
        <v>2</v>
      </c>
      <c r="P942">
        <v>4</v>
      </c>
      <c r="Q942">
        <v>0</v>
      </c>
      <c r="R942">
        <v>17</v>
      </c>
      <c r="S942">
        <v>2</v>
      </c>
      <c r="T942">
        <v>2</v>
      </c>
      <c r="U942">
        <v>3</v>
      </c>
      <c r="V942">
        <v>28</v>
      </c>
      <c r="W942">
        <v>5</v>
      </c>
    </row>
    <row r="943" spans="1:23" x14ac:dyDescent="0.25">
      <c r="A943" s="1" t="s">
        <v>23</v>
      </c>
      <c r="B943" s="1" t="s">
        <v>44</v>
      </c>
      <c r="C943" s="1" t="s">
        <v>65</v>
      </c>
      <c r="D943" s="1" t="s">
        <v>26</v>
      </c>
      <c r="E943" s="1" t="s">
        <v>27</v>
      </c>
      <c r="F943" s="1" t="s">
        <v>28</v>
      </c>
      <c r="G943" s="1" t="s">
        <v>1001</v>
      </c>
      <c r="H943">
        <v>942</v>
      </c>
      <c r="I943" s="1" t="s">
        <v>30</v>
      </c>
      <c r="J943" s="1" t="s">
        <v>37</v>
      </c>
      <c r="K943" s="1" t="s">
        <v>32</v>
      </c>
      <c r="L943" s="1" t="s">
        <v>23</v>
      </c>
      <c r="M943">
        <v>47</v>
      </c>
      <c r="N943">
        <v>33301</v>
      </c>
      <c r="O943">
        <v>3</v>
      </c>
      <c r="P943">
        <v>4</v>
      </c>
      <c r="Q943">
        <v>28</v>
      </c>
      <c r="R943">
        <v>34</v>
      </c>
      <c r="S943">
        <v>3</v>
      </c>
      <c r="T943">
        <v>3</v>
      </c>
      <c r="U943">
        <v>4</v>
      </c>
      <c r="V943">
        <v>28</v>
      </c>
      <c r="W943">
        <v>2</v>
      </c>
    </row>
    <row r="944" spans="1:23" x14ac:dyDescent="0.25">
      <c r="A944" s="1" t="s">
        <v>23</v>
      </c>
      <c r="B944" s="1" t="s">
        <v>44</v>
      </c>
      <c r="C944" s="1" t="s">
        <v>39</v>
      </c>
      <c r="D944" s="1" t="s">
        <v>26</v>
      </c>
      <c r="E944" s="1" t="s">
        <v>51</v>
      </c>
      <c r="F944" s="1" t="s">
        <v>52</v>
      </c>
      <c r="G944" s="1" t="s">
        <v>1002</v>
      </c>
      <c r="H944">
        <v>943</v>
      </c>
      <c r="I944" s="1" t="s">
        <v>36</v>
      </c>
      <c r="J944" s="1" t="s">
        <v>59</v>
      </c>
      <c r="K944" s="1" t="s">
        <v>32</v>
      </c>
      <c r="L944" s="1" t="s">
        <v>23</v>
      </c>
      <c r="M944">
        <v>58</v>
      </c>
      <c r="N944">
        <v>128615</v>
      </c>
      <c r="O944">
        <v>3</v>
      </c>
      <c r="P944">
        <v>3</v>
      </c>
      <c r="Q944">
        <v>39</v>
      </c>
      <c r="R944">
        <v>18</v>
      </c>
      <c r="S944">
        <v>1</v>
      </c>
      <c r="T944">
        <v>2</v>
      </c>
      <c r="U944">
        <v>4</v>
      </c>
      <c r="V944">
        <v>20</v>
      </c>
      <c r="W944">
        <v>1</v>
      </c>
    </row>
    <row r="945" spans="1:23" x14ac:dyDescent="0.25">
      <c r="A945" s="1" t="s">
        <v>33</v>
      </c>
      <c r="B945" s="1" t="s">
        <v>44</v>
      </c>
      <c r="C945" s="1" t="s">
        <v>65</v>
      </c>
      <c r="D945" s="1" t="s">
        <v>73</v>
      </c>
      <c r="E945" s="1" t="s">
        <v>40</v>
      </c>
      <c r="F945" s="1" t="s">
        <v>66</v>
      </c>
      <c r="G945" s="1" t="s">
        <v>1003</v>
      </c>
      <c r="H945">
        <v>944</v>
      </c>
      <c r="I945" s="1" t="s">
        <v>30</v>
      </c>
      <c r="J945" s="1" t="s">
        <v>64</v>
      </c>
      <c r="K945" s="1" t="s">
        <v>50</v>
      </c>
      <c r="L945" s="1" t="s">
        <v>33</v>
      </c>
      <c r="M945">
        <v>30</v>
      </c>
      <c r="N945">
        <v>98436</v>
      </c>
      <c r="O945">
        <v>3</v>
      </c>
      <c r="P945">
        <v>2</v>
      </c>
      <c r="Q945">
        <v>37</v>
      </c>
      <c r="R945">
        <v>41</v>
      </c>
      <c r="S945">
        <v>1</v>
      </c>
      <c r="T945">
        <v>1</v>
      </c>
      <c r="U945">
        <v>3</v>
      </c>
      <c r="V945">
        <v>5</v>
      </c>
      <c r="W945">
        <v>1</v>
      </c>
    </row>
    <row r="946" spans="1:23" x14ac:dyDescent="0.25">
      <c r="A946" s="1" t="s">
        <v>23</v>
      </c>
      <c r="B946" s="1" t="s">
        <v>24</v>
      </c>
      <c r="C946" s="1" t="s">
        <v>65</v>
      </c>
      <c r="D946" s="1" t="s">
        <v>26</v>
      </c>
      <c r="E946" s="1" t="s">
        <v>60</v>
      </c>
      <c r="F946" s="1" t="s">
        <v>66</v>
      </c>
      <c r="G946" s="1" t="s">
        <v>1004</v>
      </c>
      <c r="H946">
        <v>945</v>
      </c>
      <c r="I946" s="1" t="s">
        <v>36</v>
      </c>
      <c r="J946" s="1" t="s">
        <v>37</v>
      </c>
      <c r="K946" s="1" t="s">
        <v>38</v>
      </c>
      <c r="L946" s="1" t="s">
        <v>33</v>
      </c>
      <c r="M946">
        <v>54</v>
      </c>
      <c r="N946">
        <v>71501</v>
      </c>
      <c r="O946">
        <v>4</v>
      </c>
      <c r="P946">
        <v>2</v>
      </c>
      <c r="Q946">
        <v>6</v>
      </c>
      <c r="R946">
        <v>18</v>
      </c>
      <c r="S946">
        <v>2</v>
      </c>
      <c r="T946">
        <v>3</v>
      </c>
      <c r="U946">
        <v>4</v>
      </c>
      <c r="V946">
        <v>13</v>
      </c>
      <c r="W946">
        <v>5</v>
      </c>
    </row>
    <row r="947" spans="1:23" x14ac:dyDescent="0.25">
      <c r="A947" s="1" t="s">
        <v>23</v>
      </c>
      <c r="B947" s="1" t="s">
        <v>44</v>
      </c>
      <c r="C947" s="1" t="s">
        <v>39</v>
      </c>
      <c r="D947" s="1" t="s">
        <v>26</v>
      </c>
      <c r="E947" s="1" t="s">
        <v>55</v>
      </c>
      <c r="F947" s="1" t="s">
        <v>52</v>
      </c>
      <c r="G947" s="1" t="s">
        <v>1005</v>
      </c>
      <c r="H947">
        <v>946</v>
      </c>
      <c r="I947" s="1" t="s">
        <v>30</v>
      </c>
      <c r="J947" s="1" t="s">
        <v>41</v>
      </c>
      <c r="K947" s="1" t="s">
        <v>38</v>
      </c>
      <c r="L947" s="1" t="s">
        <v>23</v>
      </c>
      <c r="M947">
        <v>39</v>
      </c>
      <c r="N947">
        <v>126338</v>
      </c>
      <c r="O947">
        <v>2</v>
      </c>
      <c r="P947">
        <v>1</v>
      </c>
      <c r="Q947">
        <v>8</v>
      </c>
      <c r="R947">
        <v>23</v>
      </c>
      <c r="S947">
        <v>6</v>
      </c>
      <c r="T947">
        <v>2</v>
      </c>
      <c r="U947">
        <v>4</v>
      </c>
      <c r="V947">
        <v>10</v>
      </c>
      <c r="W947">
        <v>2</v>
      </c>
    </row>
    <row r="948" spans="1:23" x14ac:dyDescent="0.25">
      <c r="A948" s="1" t="s">
        <v>33</v>
      </c>
      <c r="B948" s="1" t="s">
        <v>24</v>
      </c>
      <c r="C948" s="1" t="s">
        <v>25</v>
      </c>
      <c r="D948" s="1" t="s">
        <v>73</v>
      </c>
      <c r="E948" s="1" t="s">
        <v>55</v>
      </c>
      <c r="F948" s="1" t="s">
        <v>52</v>
      </c>
      <c r="G948" s="1" t="s">
        <v>1006</v>
      </c>
      <c r="H948">
        <v>947</v>
      </c>
      <c r="I948" s="1" t="s">
        <v>30</v>
      </c>
      <c r="J948" s="1" t="s">
        <v>70</v>
      </c>
      <c r="K948" s="1" t="s">
        <v>50</v>
      </c>
      <c r="L948" s="1" t="s">
        <v>33</v>
      </c>
      <c r="M948">
        <v>29</v>
      </c>
      <c r="N948">
        <v>70476</v>
      </c>
      <c r="O948">
        <v>2</v>
      </c>
      <c r="P948">
        <v>1</v>
      </c>
      <c r="Q948">
        <v>40</v>
      </c>
      <c r="R948">
        <v>19</v>
      </c>
      <c r="S948">
        <v>4</v>
      </c>
      <c r="T948">
        <v>1</v>
      </c>
      <c r="U948">
        <v>3</v>
      </c>
      <c r="V948">
        <v>13</v>
      </c>
      <c r="W948">
        <v>1</v>
      </c>
    </row>
    <row r="949" spans="1:23" x14ac:dyDescent="0.25">
      <c r="A949" s="1" t="s">
        <v>33</v>
      </c>
      <c r="B949" s="1" t="s">
        <v>44</v>
      </c>
      <c r="C949" s="1" t="s">
        <v>39</v>
      </c>
      <c r="D949" s="1" t="s">
        <v>73</v>
      </c>
      <c r="E949" s="1" t="s">
        <v>40</v>
      </c>
      <c r="F949" s="1" t="s">
        <v>68</v>
      </c>
      <c r="G949" s="1" t="s">
        <v>1007</v>
      </c>
      <c r="H949">
        <v>948</v>
      </c>
      <c r="I949" s="1" t="s">
        <v>30</v>
      </c>
      <c r="J949" s="1" t="s">
        <v>48</v>
      </c>
      <c r="K949" s="1" t="s">
        <v>32</v>
      </c>
      <c r="L949" s="1" t="s">
        <v>23</v>
      </c>
      <c r="M949">
        <v>43</v>
      </c>
      <c r="N949">
        <v>24350</v>
      </c>
      <c r="O949">
        <v>2</v>
      </c>
      <c r="P949">
        <v>4</v>
      </c>
      <c r="Q949">
        <v>25</v>
      </c>
      <c r="R949">
        <v>33</v>
      </c>
      <c r="S949">
        <v>5</v>
      </c>
      <c r="T949">
        <v>1</v>
      </c>
      <c r="U949">
        <v>4</v>
      </c>
      <c r="V949">
        <v>6</v>
      </c>
      <c r="W949">
        <v>2</v>
      </c>
    </row>
    <row r="950" spans="1:23" x14ac:dyDescent="0.25">
      <c r="A950" s="1" t="s">
        <v>33</v>
      </c>
      <c r="B950" s="1" t="s">
        <v>44</v>
      </c>
      <c r="C950" s="1" t="s">
        <v>39</v>
      </c>
      <c r="D950" s="1" t="s">
        <v>73</v>
      </c>
      <c r="E950" s="1" t="s">
        <v>27</v>
      </c>
      <c r="F950" s="1" t="s">
        <v>52</v>
      </c>
      <c r="G950" s="1" t="s">
        <v>1008</v>
      </c>
      <c r="H950">
        <v>949</v>
      </c>
      <c r="I950" s="1" t="s">
        <v>36</v>
      </c>
      <c r="J950" s="1" t="s">
        <v>59</v>
      </c>
      <c r="K950" s="1" t="s">
        <v>32</v>
      </c>
      <c r="L950" s="1" t="s">
        <v>23</v>
      </c>
      <c r="M950">
        <v>51</v>
      </c>
      <c r="N950">
        <v>53564</v>
      </c>
      <c r="O950">
        <v>4</v>
      </c>
      <c r="P950">
        <v>2</v>
      </c>
      <c r="Q950">
        <v>36</v>
      </c>
      <c r="R950">
        <v>2</v>
      </c>
      <c r="S950">
        <v>2</v>
      </c>
      <c r="T950">
        <v>2</v>
      </c>
      <c r="U950">
        <v>3</v>
      </c>
      <c r="V950">
        <v>17</v>
      </c>
      <c r="W950">
        <v>4</v>
      </c>
    </row>
    <row r="951" spans="1:23" x14ac:dyDescent="0.25">
      <c r="A951" s="1" t="s">
        <v>23</v>
      </c>
      <c r="B951" s="1" t="s">
        <v>54</v>
      </c>
      <c r="C951" s="1" t="s">
        <v>39</v>
      </c>
      <c r="D951" s="1" t="s">
        <v>26</v>
      </c>
      <c r="E951" s="1" t="s">
        <v>55</v>
      </c>
      <c r="F951" s="1" t="s">
        <v>66</v>
      </c>
      <c r="G951" s="1" t="s">
        <v>1009</v>
      </c>
      <c r="H951">
        <v>950</v>
      </c>
      <c r="I951" s="1" t="s">
        <v>36</v>
      </c>
      <c r="J951" s="1" t="s">
        <v>64</v>
      </c>
      <c r="K951" s="1" t="s">
        <v>32</v>
      </c>
      <c r="L951" s="1" t="s">
        <v>33</v>
      </c>
      <c r="M951">
        <v>49</v>
      </c>
      <c r="N951">
        <v>49701</v>
      </c>
      <c r="O951">
        <v>4</v>
      </c>
      <c r="P951">
        <v>2</v>
      </c>
      <c r="Q951">
        <v>4</v>
      </c>
      <c r="R951">
        <v>29</v>
      </c>
      <c r="S951">
        <v>5</v>
      </c>
      <c r="T951">
        <v>2</v>
      </c>
      <c r="U951">
        <v>3</v>
      </c>
      <c r="V951">
        <v>15</v>
      </c>
      <c r="W951">
        <v>2</v>
      </c>
    </row>
    <row r="952" spans="1:23" x14ac:dyDescent="0.25">
      <c r="A952" s="1" t="s">
        <v>33</v>
      </c>
      <c r="B952" s="1" t="s">
        <v>24</v>
      </c>
      <c r="C952" s="1" t="s">
        <v>39</v>
      </c>
      <c r="D952" s="1" t="s">
        <v>73</v>
      </c>
      <c r="E952" s="1" t="s">
        <v>55</v>
      </c>
      <c r="F952" s="1" t="s">
        <v>46</v>
      </c>
      <c r="G952" s="1" t="s">
        <v>1010</v>
      </c>
      <c r="H952">
        <v>951</v>
      </c>
      <c r="I952" s="1" t="s">
        <v>30</v>
      </c>
      <c r="J952" s="1" t="s">
        <v>70</v>
      </c>
      <c r="K952" s="1" t="s">
        <v>50</v>
      </c>
      <c r="L952" s="1" t="s">
        <v>33</v>
      </c>
      <c r="M952">
        <v>47</v>
      </c>
      <c r="N952">
        <v>62877</v>
      </c>
      <c r="O952">
        <v>1</v>
      </c>
      <c r="P952">
        <v>4</v>
      </c>
      <c r="Q952">
        <v>20</v>
      </c>
      <c r="R952">
        <v>42</v>
      </c>
      <c r="S952">
        <v>6</v>
      </c>
      <c r="T952">
        <v>1</v>
      </c>
      <c r="U952">
        <v>4</v>
      </c>
      <c r="V952">
        <v>8</v>
      </c>
      <c r="W952">
        <v>5</v>
      </c>
    </row>
    <row r="953" spans="1:23" x14ac:dyDescent="0.25">
      <c r="A953" s="1" t="s">
        <v>23</v>
      </c>
      <c r="B953" s="1" t="s">
        <v>44</v>
      </c>
      <c r="C953" s="1" t="s">
        <v>34</v>
      </c>
      <c r="D953" s="1" t="s">
        <v>26</v>
      </c>
      <c r="E953" s="1" t="s">
        <v>55</v>
      </c>
      <c r="F953" s="1" t="s">
        <v>52</v>
      </c>
      <c r="G953" s="1" t="s">
        <v>1011</v>
      </c>
      <c r="H953">
        <v>952</v>
      </c>
      <c r="I953" s="1" t="s">
        <v>36</v>
      </c>
      <c r="J953" s="1" t="s">
        <v>48</v>
      </c>
      <c r="K953" s="1" t="s">
        <v>32</v>
      </c>
      <c r="L953" s="1" t="s">
        <v>33</v>
      </c>
      <c r="M953">
        <v>41</v>
      </c>
      <c r="N953">
        <v>163737</v>
      </c>
      <c r="O953">
        <v>3</v>
      </c>
      <c r="P953">
        <v>3</v>
      </c>
      <c r="Q953">
        <v>26</v>
      </c>
      <c r="R953">
        <v>7</v>
      </c>
      <c r="S953">
        <v>3</v>
      </c>
      <c r="T953">
        <v>4</v>
      </c>
      <c r="U953">
        <v>4</v>
      </c>
      <c r="V953">
        <v>8</v>
      </c>
      <c r="W953">
        <v>2</v>
      </c>
    </row>
    <row r="954" spans="1:23" x14ac:dyDescent="0.25">
      <c r="A954" s="1" t="s">
        <v>23</v>
      </c>
      <c r="B954" s="1" t="s">
        <v>54</v>
      </c>
      <c r="C954" s="1" t="s">
        <v>34</v>
      </c>
      <c r="D954" s="1" t="s">
        <v>26</v>
      </c>
      <c r="E954" s="1" t="s">
        <v>60</v>
      </c>
      <c r="F954" s="1" t="s">
        <v>46</v>
      </c>
      <c r="G954" s="1" t="s">
        <v>1012</v>
      </c>
      <c r="H954">
        <v>953</v>
      </c>
      <c r="I954" s="1" t="s">
        <v>36</v>
      </c>
      <c r="J954" s="1" t="s">
        <v>76</v>
      </c>
      <c r="K954" s="1" t="s">
        <v>32</v>
      </c>
      <c r="L954" s="1" t="s">
        <v>23</v>
      </c>
      <c r="M954">
        <v>60</v>
      </c>
      <c r="N954">
        <v>48534</v>
      </c>
      <c r="O954">
        <v>2</v>
      </c>
      <c r="P954">
        <v>4</v>
      </c>
      <c r="Q954">
        <v>38</v>
      </c>
      <c r="R954">
        <v>37</v>
      </c>
      <c r="S954">
        <v>3</v>
      </c>
      <c r="T954">
        <v>1</v>
      </c>
      <c r="U954">
        <v>3</v>
      </c>
      <c r="V954">
        <v>19</v>
      </c>
      <c r="W954">
        <v>2</v>
      </c>
    </row>
    <row r="955" spans="1:23" x14ac:dyDescent="0.25">
      <c r="A955" s="1" t="s">
        <v>23</v>
      </c>
      <c r="B955" s="1" t="s">
        <v>24</v>
      </c>
      <c r="C955" s="1" t="s">
        <v>34</v>
      </c>
      <c r="D955" s="1" t="s">
        <v>26</v>
      </c>
      <c r="E955" s="1" t="s">
        <v>27</v>
      </c>
      <c r="F955" s="1" t="s">
        <v>52</v>
      </c>
      <c r="G955" s="1" t="s">
        <v>1013</v>
      </c>
      <c r="H955">
        <v>954</v>
      </c>
      <c r="I955" s="1" t="s">
        <v>36</v>
      </c>
      <c r="J955" s="1" t="s">
        <v>59</v>
      </c>
      <c r="K955" s="1" t="s">
        <v>38</v>
      </c>
      <c r="L955" s="1" t="s">
        <v>33</v>
      </c>
      <c r="M955">
        <v>34</v>
      </c>
      <c r="N955">
        <v>146536</v>
      </c>
      <c r="O955">
        <v>3</v>
      </c>
      <c r="P955">
        <v>2</v>
      </c>
      <c r="Q955">
        <v>37</v>
      </c>
      <c r="R955">
        <v>35</v>
      </c>
      <c r="S955">
        <v>4</v>
      </c>
      <c r="T955">
        <v>2</v>
      </c>
      <c r="U955">
        <v>3</v>
      </c>
      <c r="V955">
        <v>5</v>
      </c>
      <c r="W955">
        <v>1</v>
      </c>
    </row>
    <row r="956" spans="1:23" x14ac:dyDescent="0.25">
      <c r="A956" s="1" t="s">
        <v>23</v>
      </c>
      <c r="B956" s="1" t="s">
        <v>24</v>
      </c>
      <c r="C956" s="1" t="s">
        <v>65</v>
      </c>
      <c r="D956" s="1" t="s">
        <v>26</v>
      </c>
      <c r="E956" s="1" t="s">
        <v>60</v>
      </c>
      <c r="F956" s="1" t="s">
        <v>46</v>
      </c>
      <c r="G956" s="1" t="s">
        <v>1014</v>
      </c>
      <c r="H956">
        <v>955</v>
      </c>
      <c r="I956" s="1" t="s">
        <v>36</v>
      </c>
      <c r="J956" s="1" t="s">
        <v>64</v>
      </c>
      <c r="K956" s="1" t="s">
        <v>32</v>
      </c>
      <c r="L956" s="1" t="s">
        <v>33</v>
      </c>
      <c r="M956">
        <v>32</v>
      </c>
      <c r="N956">
        <v>27871</v>
      </c>
      <c r="O956">
        <v>1</v>
      </c>
      <c r="P956">
        <v>3</v>
      </c>
      <c r="Q956">
        <v>35</v>
      </c>
      <c r="R956">
        <v>31</v>
      </c>
      <c r="S956">
        <v>4</v>
      </c>
      <c r="T956">
        <v>4</v>
      </c>
      <c r="U956">
        <v>4</v>
      </c>
      <c r="V956">
        <v>12</v>
      </c>
      <c r="W956">
        <v>2</v>
      </c>
    </row>
    <row r="957" spans="1:23" x14ac:dyDescent="0.25">
      <c r="A957" s="1" t="s">
        <v>23</v>
      </c>
      <c r="B957" s="1" t="s">
        <v>54</v>
      </c>
      <c r="C957" s="1" t="s">
        <v>39</v>
      </c>
      <c r="D957" s="1" t="s">
        <v>26</v>
      </c>
      <c r="E957" s="1" t="s">
        <v>27</v>
      </c>
      <c r="F957" s="1" t="s">
        <v>41</v>
      </c>
      <c r="G957" s="1" t="s">
        <v>1015</v>
      </c>
      <c r="H957">
        <v>956</v>
      </c>
      <c r="I957" s="1" t="s">
        <v>36</v>
      </c>
      <c r="J957" s="1" t="s">
        <v>70</v>
      </c>
      <c r="K957" s="1" t="s">
        <v>50</v>
      </c>
      <c r="L957" s="1" t="s">
        <v>23</v>
      </c>
      <c r="M957">
        <v>24</v>
      </c>
      <c r="N957">
        <v>28600</v>
      </c>
      <c r="O957">
        <v>2</v>
      </c>
      <c r="P957">
        <v>1</v>
      </c>
      <c r="Q957">
        <v>17</v>
      </c>
      <c r="R957">
        <v>19</v>
      </c>
      <c r="S957">
        <v>1</v>
      </c>
      <c r="T957">
        <v>4</v>
      </c>
      <c r="U957">
        <v>3</v>
      </c>
      <c r="V957">
        <v>27</v>
      </c>
      <c r="W957">
        <v>5</v>
      </c>
    </row>
    <row r="958" spans="1:23" x14ac:dyDescent="0.25">
      <c r="A958" s="1" t="s">
        <v>33</v>
      </c>
      <c r="B958" s="1" t="s">
        <v>44</v>
      </c>
      <c r="C958" s="1" t="s">
        <v>39</v>
      </c>
      <c r="D958" s="1" t="s">
        <v>73</v>
      </c>
      <c r="E958" s="1" t="s">
        <v>60</v>
      </c>
      <c r="F958" s="1" t="s">
        <v>66</v>
      </c>
      <c r="G958" s="1" t="s">
        <v>1016</v>
      </c>
      <c r="H958">
        <v>957</v>
      </c>
      <c r="I958" s="1" t="s">
        <v>36</v>
      </c>
      <c r="J958" s="1" t="s">
        <v>70</v>
      </c>
      <c r="K958" s="1" t="s">
        <v>50</v>
      </c>
      <c r="L958" s="1" t="s">
        <v>33</v>
      </c>
      <c r="M958">
        <v>22</v>
      </c>
      <c r="N958">
        <v>57115</v>
      </c>
      <c r="O958">
        <v>2</v>
      </c>
      <c r="P958">
        <v>3</v>
      </c>
      <c r="Q958">
        <v>1</v>
      </c>
      <c r="R958">
        <v>5</v>
      </c>
      <c r="S958">
        <v>2</v>
      </c>
      <c r="T958">
        <v>2</v>
      </c>
      <c r="U958">
        <v>4</v>
      </c>
      <c r="V958">
        <v>9</v>
      </c>
      <c r="W958">
        <v>5</v>
      </c>
    </row>
    <row r="959" spans="1:23" x14ac:dyDescent="0.25">
      <c r="A959" s="1" t="s">
        <v>23</v>
      </c>
      <c r="B959" s="1" t="s">
        <v>24</v>
      </c>
      <c r="C959" s="1" t="s">
        <v>39</v>
      </c>
      <c r="D959" s="1" t="s">
        <v>26</v>
      </c>
      <c r="E959" s="1" t="s">
        <v>55</v>
      </c>
      <c r="F959" s="1" t="s">
        <v>41</v>
      </c>
      <c r="G959" s="1" t="s">
        <v>1017</v>
      </c>
      <c r="H959">
        <v>958</v>
      </c>
      <c r="I959" s="1" t="s">
        <v>36</v>
      </c>
      <c r="J959" s="1" t="s">
        <v>86</v>
      </c>
      <c r="K959" s="1" t="s">
        <v>50</v>
      </c>
      <c r="L959" s="1" t="s">
        <v>33</v>
      </c>
      <c r="M959">
        <v>58</v>
      </c>
      <c r="N959">
        <v>149036</v>
      </c>
      <c r="O959">
        <v>1</v>
      </c>
      <c r="P959">
        <v>1</v>
      </c>
      <c r="Q959">
        <v>9</v>
      </c>
      <c r="R959">
        <v>25</v>
      </c>
      <c r="S959">
        <v>0</v>
      </c>
      <c r="T959">
        <v>2</v>
      </c>
      <c r="U959">
        <v>3</v>
      </c>
      <c r="V959">
        <v>4</v>
      </c>
      <c r="W959">
        <v>2</v>
      </c>
    </row>
    <row r="960" spans="1:23" x14ac:dyDescent="0.25">
      <c r="A960" s="1" t="s">
        <v>23</v>
      </c>
      <c r="B960" s="1" t="s">
        <v>44</v>
      </c>
      <c r="C960" s="1" t="s">
        <v>65</v>
      </c>
      <c r="D960" s="1" t="s">
        <v>26</v>
      </c>
      <c r="E960" s="1" t="s">
        <v>46</v>
      </c>
      <c r="F960" s="1" t="s">
        <v>68</v>
      </c>
      <c r="G960" s="1" t="s">
        <v>1018</v>
      </c>
      <c r="H960">
        <v>959</v>
      </c>
      <c r="I960" s="1" t="s">
        <v>36</v>
      </c>
      <c r="J960" s="1" t="s">
        <v>70</v>
      </c>
      <c r="K960" s="1" t="s">
        <v>50</v>
      </c>
      <c r="L960" s="1" t="s">
        <v>33</v>
      </c>
      <c r="M960">
        <v>59</v>
      </c>
      <c r="N960">
        <v>41392</v>
      </c>
      <c r="O960">
        <v>1</v>
      </c>
      <c r="P960">
        <v>1</v>
      </c>
      <c r="Q960">
        <v>24</v>
      </c>
      <c r="R960">
        <v>25</v>
      </c>
      <c r="S960">
        <v>0</v>
      </c>
      <c r="T960">
        <v>2</v>
      </c>
      <c r="U960">
        <v>3</v>
      </c>
      <c r="V960">
        <v>2</v>
      </c>
      <c r="W960">
        <v>1</v>
      </c>
    </row>
    <row r="961" spans="1:23" x14ac:dyDescent="0.25">
      <c r="A961" s="1" t="s">
        <v>23</v>
      </c>
      <c r="B961" s="1" t="s">
        <v>54</v>
      </c>
      <c r="C961" s="1" t="s">
        <v>25</v>
      </c>
      <c r="D961" s="1" t="s">
        <v>26</v>
      </c>
      <c r="E961" s="1" t="s">
        <v>55</v>
      </c>
      <c r="F961" s="1" t="s">
        <v>46</v>
      </c>
      <c r="G961" s="1" t="s">
        <v>1019</v>
      </c>
      <c r="H961">
        <v>960</v>
      </c>
      <c r="I961" s="1" t="s">
        <v>36</v>
      </c>
      <c r="J961" s="1" t="s">
        <v>48</v>
      </c>
      <c r="K961" s="1" t="s">
        <v>50</v>
      </c>
      <c r="L961" s="1" t="s">
        <v>33</v>
      </c>
      <c r="M961">
        <v>23</v>
      </c>
      <c r="N961">
        <v>94968</v>
      </c>
      <c r="O961">
        <v>2</v>
      </c>
      <c r="P961">
        <v>4</v>
      </c>
      <c r="Q961">
        <v>24</v>
      </c>
      <c r="R961">
        <v>21</v>
      </c>
      <c r="S961">
        <v>1</v>
      </c>
      <c r="T961">
        <v>1</v>
      </c>
      <c r="U961">
        <v>3</v>
      </c>
      <c r="V961">
        <v>15</v>
      </c>
      <c r="W961">
        <v>3</v>
      </c>
    </row>
    <row r="962" spans="1:23" x14ac:dyDescent="0.25">
      <c r="A962" s="1" t="s">
        <v>23</v>
      </c>
      <c r="B962" s="1" t="s">
        <v>24</v>
      </c>
      <c r="C962" s="1" t="s">
        <v>34</v>
      </c>
      <c r="D962" s="1" t="s">
        <v>26</v>
      </c>
      <c r="E962" s="1" t="s">
        <v>27</v>
      </c>
      <c r="F962" s="1" t="s">
        <v>66</v>
      </c>
      <c r="G962" s="1" t="s">
        <v>1020</v>
      </c>
      <c r="H962">
        <v>961</v>
      </c>
      <c r="I962" s="1" t="s">
        <v>30</v>
      </c>
      <c r="J962" s="1" t="s">
        <v>76</v>
      </c>
      <c r="K962" s="1" t="s">
        <v>50</v>
      </c>
      <c r="L962" s="1" t="s">
        <v>23</v>
      </c>
      <c r="M962">
        <v>54</v>
      </c>
      <c r="N962">
        <v>54860</v>
      </c>
      <c r="O962">
        <v>3</v>
      </c>
      <c r="P962">
        <v>1</v>
      </c>
      <c r="Q962">
        <v>36</v>
      </c>
      <c r="R962">
        <v>42</v>
      </c>
      <c r="S962">
        <v>2</v>
      </c>
      <c r="T962">
        <v>2</v>
      </c>
      <c r="U962">
        <v>3</v>
      </c>
      <c r="V962">
        <v>20</v>
      </c>
      <c r="W962">
        <v>3</v>
      </c>
    </row>
    <row r="963" spans="1:23" x14ac:dyDescent="0.25">
      <c r="A963" s="1" t="s">
        <v>23</v>
      </c>
      <c r="B963" s="1" t="s">
        <v>24</v>
      </c>
      <c r="C963" s="1" t="s">
        <v>25</v>
      </c>
      <c r="D963" s="1" t="s">
        <v>26</v>
      </c>
      <c r="E963" s="1" t="s">
        <v>51</v>
      </c>
      <c r="F963" s="1" t="s">
        <v>52</v>
      </c>
      <c r="G963" s="1" t="s">
        <v>1021</v>
      </c>
      <c r="H963">
        <v>962</v>
      </c>
      <c r="I963" s="1" t="s">
        <v>36</v>
      </c>
      <c r="J963" s="1" t="s">
        <v>37</v>
      </c>
      <c r="K963" s="1" t="s">
        <v>32</v>
      </c>
      <c r="L963" s="1" t="s">
        <v>23</v>
      </c>
      <c r="M963">
        <v>25</v>
      </c>
      <c r="N963">
        <v>18324</v>
      </c>
      <c r="O963">
        <v>2</v>
      </c>
      <c r="P963">
        <v>3</v>
      </c>
      <c r="Q963">
        <v>8</v>
      </c>
      <c r="R963">
        <v>37</v>
      </c>
      <c r="S963">
        <v>3</v>
      </c>
      <c r="T963">
        <v>1</v>
      </c>
      <c r="U963">
        <v>3</v>
      </c>
      <c r="V963">
        <v>8</v>
      </c>
      <c r="W963">
        <v>4</v>
      </c>
    </row>
    <row r="964" spans="1:23" x14ac:dyDescent="0.25">
      <c r="A964" s="1" t="s">
        <v>23</v>
      </c>
      <c r="B964" s="1" t="s">
        <v>44</v>
      </c>
      <c r="C964" s="1" t="s">
        <v>34</v>
      </c>
      <c r="D964" s="1" t="s">
        <v>26</v>
      </c>
      <c r="E964" s="1" t="s">
        <v>40</v>
      </c>
      <c r="F964" s="1" t="s">
        <v>41</v>
      </c>
      <c r="G964" s="1" t="s">
        <v>1022</v>
      </c>
      <c r="H964">
        <v>963</v>
      </c>
      <c r="I964" s="1" t="s">
        <v>36</v>
      </c>
      <c r="J964" s="1" t="s">
        <v>59</v>
      </c>
      <c r="K964" s="1" t="s">
        <v>38</v>
      </c>
      <c r="L964" s="1" t="s">
        <v>23</v>
      </c>
      <c r="M964">
        <v>40</v>
      </c>
      <c r="N964">
        <v>52166</v>
      </c>
      <c r="O964">
        <v>2</v>
      </c>
      <c r="P964">
        <v>1</v>
      </c>
      <c r="Q964">
        <v>16</v>
      </c>
      <c r="R964">
        <v>4</v>
      </c>
      <c r="S964">
        <v>5</v>
      </c>
      <c r="T964">
        <v>2</v>
      </c>
      <c r="U964">
        <v>3</v>
      </c>
      <c r="V964">
        <v>5</v>
      </c>
      <c r="W964">
        <v>4</v>
      </c>
    </row>
    <row r="965" spans="1:23" x14ac:dyDescent="0.25">
      <c r="A965" s="1" t="s">
        <v>33</v>
      </c>
      <c r="B965" s="1" t="s">
        <v>54</v>
      </c>
      <c r="C965" s="1" t="s">
        <v>34</v>
      </c>
      <c r="D965" s="1" t="s">
        <v>73</v>
      </c>
      <c r="E965" s="1" t="s">
        <v>27</v>
      </c>
      <c r="F965" s="1" t="s">
        <v>28</v>
      </c>
      <c r="G965" s="1" t="s">
        <v>1023</v>
      </c>
      <c r="H965">
        <v>964</v>
      </c>
      <c r="I965" s="1" t="s">
        <v>36</v>
      </c>
      <c r="J965" s="1" t="s">
        <v>48</v>
      </c>
      <c r="K965" s="1" t="s">
        <v>32</v>
      </c>
      <c r="L965" s="1" t="s">
        <v>23</v>
      </c>
      <c r="M965">
        <v>38</v>
      </c>
      <c r="N965">
        <v>33809</v>
      </c>
      <c r="O965">
        <v>2</v>
      </c>
      <c r="P965">
        <v>1</v>
      </c>
      <c r="Q965">
        <v>28</v>
      </c>
      <c r="R965">
        <v>5</v>
      </c>
      <c r="S965">
        <v>3</v>
      </c>
      <c r="T965">
        <v>4</v>
      </c>
      <c r="U965">
        <v>3</v>
      </c>
      <c r="V965">
        <v>14</v>
      </c>
      <c r="W965">
        <v>2</v>
      </c>
    </row>
    <row r="966" spans="1:23" x14ac:dyDescent="0.25">
      <c r="A966" s="1" t="s">
        <v>23</v>
      </c>
      <c r="B966" s="1" t="s">
        <v>54</v>
      </c>
      <c r="C966" s="1" t="s">
        <v>65</v>
      </c>
      <c r="D966" s="1" t="s">
        <v>26</v>
      </c>
      <c r="E966" s="1" t="s">
        <v>51</v>
      </c>
      <c r="F966" s="1" t="s">
        <v>66</v>
      </c>
      <c r="G966" s="1" t="s">
        <v>1024</v>
      </c>
      <c r="H966">
        <v>965</v>
      </c>
      <c r="I966" s="1" t="s">
        <v>36</v>
      </c>
      <c r="J966" s="1" t="s">
        <v>37</v>
      </c>
      <c r="K966" s="1" t="s">
        <v>38</v>
      </c>
      <c r="L966" s="1" t="s">
        <v>33</v>
      </c>
      <c r="M966">
        <v>21</v>
      </c>
      <c r="N966">
        <v>76153</v>
      </c>
      <c r="O966">
        <v>3</v>
      </c>
      <c r="P966">
        <v>1</v>
      </c>
      <c r="Q966">
        <v>15</v>
      </c>
      <c r="R966">
        <v>3</v>
      </c>
      <c r="S966">
        <v>0</v>
      </c>
      <c r="T966">
        <v>1</v>
      </c>
      <c r="U966">
        <v>4</v>
      </c>
      <c r="V966">
        <v>30</v>
      </c>
      <c r="W966">
        <v>4</v>
      </c>
    </row>
    <row r="967" spans="1:23" x14ac:dyDescent="0.25">
      <c r="A967" s="1" t="s">
        <v>33</v>
      </c>
      <c r="B967" s="1" t="s">
        <v>44</v>
      </c>
      <c r="C967" s="1" t="s">
        <v>39</v>
      </c>
      <c r="D967" s="1" t="s">
        <v>73</v>
      </c>
      <c r="E967" s="1" t="s">
        <v>46</v>
      </c>
      <c r="F967" s="1" t="s">
        <v>46</v>
      </c>
      <c r="G967" s="1" t="s">
        <v>1025</v>
      </c>
      <c r="H967">
        <v>966</v>
      </c>
      <c r="I967" s="1" t="s">
        <v>36</v>
      </c>
      <c r="J967" s="1" t="s">
        <v>76</v>
      </c>
      <c r="K967" s="1" t="s">
        <v>32</v>
      </c>
      <c r="L967" s="1" t="s">
        <v>33</v>
      </c>
      <c r="M967">
        <v>44</v>
      </c>
      <c r="N967">
        <v>134080</v>
      </c>
      <c r="O967">
        <v>3</v>
      </c>
      <c r="P967">
        <v>3</v>
      </c>
      <c r="Q967">
        <v>18</v>
      </c>
      <c r="R967">
        <v>27</v>
      </c>
      <c r="S967">
        <v>6</v>
      </c>
      <c r="T967">
        <v>2</v>
      </c>
      <c r="U967">
        <v>3</v>
      </c>
      <c r="V967">
        <v>9</v>
      </c>
      <c r="W967">
        <v>4</v>
      </c>
    </row>
    <row r="968" spans="1:23" x14ac:dyDescent="0.25">
      <c r="A968" s="1" t="s">
        <v>33</v>
      </c>
      <c r="B968" s="1" t="s">
        <v>44</v>
      </c>
      <c r="C968" s="1" t="s">
        <v>34</v>
      </c>
      <c r="D968" s="1" t="s">
        <v>73</v>
      </c>
      <c r="E968" s="1" t="s">
        <v>27</v>
      </c>
      <c r="F968" s="1" t="s">
        <v>68</v>
      </c>
      <c r="G968" s="1" t="s">
        <v>1026</v>
      </c>
      <c r="H968">
        <v>967</v>
      </c>
      <c r="I968" s="1" t="s">
        <v>30</v>
      </c>
      <c r="J968" s="1" t="s">
        <v>31</v>
      </c>
      <c r="K968" s="1" t="s">
        <v>50</v>
      </c>
      <c r="L968" s="1" t="s">
        <v>33</v>
      </c>
      <c r="M968">
        <v>28</v>
      </c>
      <c r="N968">
        <v>152789</v>
      </c>
      <c r="O968">
        <v>1</v>
      </c>
      <c r="P968">
        <v>1</v>
      </c>
      <c r="Q968">
        <v>13</v>
      </c>
      <c r="R968">
        <v>1</v>
      </c>
      <c r="S968">
        <v>6</v>
      </c>
      <c r="T968">
        <v>4</v>
      </c>
      <c r="U968">
        <v>3</v>
      </c>
      <c r="V968">
        <v>4</v>
      </c>
      <c r="W968">
        <v>4</v>
      </c>
    </row>
    <row r="969" spans="1:23" x14ac:dyDescent="0.25">
      <c r="A969" s="1" t="s">
        <v>23</v>
      </c>
      <c r="B969" s="1" t="s">
        <v>44</v>
      </c>
      <c r="C969" s="1" t="s">
        <v>65</v>
      </c>
      <c r="D969" s="1" t="s">
        <v>26</v>
      </c>
      <c r="E969" s="1" t="s">
        <v>60</v>
      </c>
      <c r="F969" s="1" t="s">
        <v>28</v>
      </c>
      <c r="G969" s="1" t="s">
        <v>1027</v>
      </c>
      <c r="H969">
        <v>968</v>
      </c>
      <c r="I969" s="1" t="s">
        <v>36</v>
      </c>
      <c r="J969" s="1" t="s">
        <v>59</v>
      </c>
      <c r="K969" s="1" t="s">
        <v>50</v>
      </c>
      <c r="L969" s="1" t="s">
        <v>33</v>
      </c>
      <c r="M969">
        <v>54</v>
      </c>
      <c r="N969">
        <v>43540</v>
      </c>
      <c r="O969">
        <v>3</v>
      </c>
      <c r="P969">
        <v>4</v>
      </c>
      <c r="Q969">
        <v>6</v>
      </c>
      <c r="R969">
        <v>9</v>
      </c>
      <c r="S969">
        <v>4</v>
      </c>
      <c r="T969">
        <v>1</v>
      </c>
      <c r="U969">
        <v>3</v>
      </c>
      <c r="V969">
        <v>11</v>
      </c>
      <c r="W969">
        <v>1</v>
      </c>
    </row>
    <row r="970" spans="1:23" x14ac:dyDescent="0.25">
      <c r="A970" s="1" t="s">
        <v>23</v>
      </c>
      <c r="B970" s="1" t="s">
        <v>44</v>
      </c>
      <c r="C970" s="1" t="s">
        <v>34</v>
      </c>
      <c r="D970" s="1" t="s">
        <v>26</v>
      </c>
      <c r="E970" s="1" t="s">
        <v>60</v>
      </c>
      <c r="F970" s="1" t="s">
        <v>68</v>
      </c>
      <c r="G970" s="1" t="s">
        <v>1028</v>
      </c>
      <c r="H970">
        <v>969</v>
      </c>
      <c r="I970" s="1" t="s">
        <v>30</v>
      </c>
      <c r="J970" s="1" t="s">
        <v>48</v>
      </c>
      <c r="K970" s="1" t="s">
        <v>50</v>
      </c>
      <c r="L970" s="1" t="s">
        <v>23</v>
      </c>
      <c r="M970">
        <v>35</v>
      </c>
      <c r="N970">
        <v>105068</v>
      </c>
      <c r="O970">
        <v>1</v>
      </c>
      <c r="P970">
        <v>1</v>
      </c>
      <c r="Q970">
        <v>18</v>
      </c>
      <c r="R970">
        <v>23</v>
      </c>
      <c r="S970">
        <v>4</v>
      </c>
      <c r="T970">
        <v>3</v>
      </c>
      <c r="U970">
        <v>4</v>
      </c>
      <c r="V970">
        <v>10</v>
      </c>
      <c r="W970">
        <v>2</v>
      </c>
    </row>
    <row r="971" spans="1:23" x14ac:dyDescent="0.25">
      <c r="A971" s="1" t="s">
        <v>23</v>
      </c>
      <c r="B971" s="1" t="s">
        <v>24</v>
      </c>
      <c r="C971" s="1" t="s">
        <v>34</v>
      </c>
      <c r="D971" s="1" t="s">
        <v>26</v>
      </c>
      <c r="E971" s="1" t="s">
        <v>46</v>
      </c>
      <c r="F971" s="1" t="s">
        <v>66</v>
      </c>
      <c r="G971" s="1" t="s">
        <v>1029</v>
      </c>
      <c r="H971">
        <v>970</v>
      </c>
      <c r="I971" s="1" t="s">
        <v>30</v>
      </c>
      <c r="J971" s="1" t="s">
        <v>43</v>
      </c>
      <c r="K971" s="1" t="s">
        <v>38</v>
      </c>
      <c r="L971" s="1" t="s">
        <v>33</v>
      </c>
      <c r="M971">
        <v>43</v>
      </c>
      <c r="N971">
        <v>157379</v>
      </c>
      <c r="O971">
        <v>3</v>
      </c>
      <c r="P971">
        <v>4</v>
      </c>
      <c r="Q971">
        <v>27</v>
      </c>
      <c r="R971">
        <v>27</v>
      </c>
      <c r="S971">
        <v>4</v>
      </c>
      <c r="T971">
        <v>3</v>
      </c>
      <c r="U971">
        <v>4</v>
      </c>
      <c r="V971">
        <v>1</v>
      </c>
      <c r="W971">
        <v>2</v>
      </c>
    </row>
    <row r="972" spans="1:23" x14ac:dyDescent="0.25">
      <c r="A972" s="1" t="s">
        <v>23</v>
      </c>
      <c r="B972" s="1" t="s">
        <v>54</v>
      </c>
      <c r="C972" s="1" t="s">
        <v>25</v>
      </c>
      <c r="D972" s="1" t="s">
        <v>26</v>
      </c>
      <c r="E972" s="1" t="s">
        <v>55</v>
      </c>
      <c r="F972" s="1" t="s">
        <v>28</v>
      </c>
      <c r="G972" s="1" t="s">
        <v>1030</v>
      </c>
      <c r="H972">
        <v>971</v>
      </c>
      <c r="I972" s="1" t="s">
        <v>36</v>
      </c>
      <c r="J972" s="1" t="s">
        <v>70</v>
      </c>
      <c r="K972" s="1" t="s">
        <v>38</v>
      </c>
      <c r="L972" s="1" t="s">
        <v>23</v>
      </c>
      <c r="M972">
        <v>48</v>
      </c>
      <c r="N972">
        <v>121186</v>
      </c>
      <c r="O972">
        <v>4</v>
      </c>
      <c r="P972">
        <v>2</v>
      </c>
      <c r="Q972">
        <v>5</v>
      </c>
      <c r="R972">
        <v>22</v>
      </c>
      <c r="S972">
        <v>4</v>
      </c>
      <c r="T972">
        <v>1</v>
      </c>
      <c r="U972">
        <v>3</v>
      </c>
      <c r="V972">
        <v>27</v>
      </c>
      <c r="W972">
        <v>2</v>
      </c>
    </row>
    <row r="973" spans="1:23" x14ac:dyDescent="0.25">
      <c r="A973" s="1" t="s">
        <v>23</v>
      </c>
      <c r="B973" s="1" t="s">
        <v>24</v>
      </c>
      <c r="C973" s="1" t="s">
        <v>39</v>
      </c>
      <c r="D973" s="1" t="s">
        <v>26</v>
      </c>
      <c r="E973" s="1" t="s">
        <v>60</v>
      </c>
      <c r="F973" s="1" t="s">
        <v>46</v>
      </c>
      <c r="G973" s="1" t="s">
        <v>1031</v>
      </c>
      <c r="H973">
        <v>972</v>
      </c>
      <c r="I973" s="1" t="s">
        <v>36</v>
      </c>
      <c r="J973" s="1" t="s">
        <v>41</v>
      </c>
      <c r="K973" s="1" t="s">
        <v>38</v>
      </c>
      <c r="L973" s="1" t="s">
        <v>33</v>
      </c>
      <c r="M973">
        <v>40</v>
      </c>
      <c r="N973">
        <v>104594</v>
      </c>
      <c r="O973">
        <v>1</v>
      </c>
      <c r="P973">
        <v>1</v>
      </c>
      <c r="Q973">
        <v>7</v>
      </c>
      <c r="R973">
        <v>3</v>
      </c>
      <c r="S973">
        <v>3</v>
      </c>
      <c r="T973">
        <v>4</v>
      </c>
      <c r="U973">
        <v>4</v>
      </c>
      <c r="V973">
        <v>4</v>
      </c>
      <c r="W973">
        <v>3</v>
      </c>
    </row>
    <row r="974" spans="1:23" x14ac:dyDescent="0.25">
      <c r="A974" s="1" t="s">
        <v>23</v>
      </c>
      <c r="B974" s="1" t="s">
        <v>54</v>
      </c>
      <c r="C974" s="1" t="s">
        <v>39</v>
      </c>
      <c r="D974" s="1" t="s">
        <v>26</v>
      </c>
      <c r="E974" s="1" t="s">
        <v>27</v>
      </c>
      <c r="F974" s="1" t="s">
        <v>28</v>
      </c>
      <c r="G974" s="1" t="s">
        <v>1032</v>
      </c>
      <c r="H974">
        <v>973</v>
      </c>
      <c r="I974" s="1" t="s">
        <v>30</v>
      </c>
      <c r="J974" s="1" t="s">
        <v>43</v>
      </c>
      <c r="K974" s="1" t="s">
        <v>32</v>
      </c>
      <c r="L974" s="1" t="s">
        <v>23</v>
      </c>
      <c r="M974">
        <v>57</v>
      </c>
      <c r="N974">
        <v>18793</v>
      </c>
      <c r="O974">
        <v>3</v>
      </c>
      <c r="P974">
        <v>2</v>
      </c>
      <c r="Q974">
        <v>4</v>
      </c>
      <c r="R974">
        <v>20</v>
      </c>
      <c r="S974">
        <v>6</v>
      </c>
      <c r="T974">
        <v>2</v>
      </c>
      <c r="U974">
        <v>3</v>
      </c>
      <c r="V974">
        <v>9</v>
      </c>
      <c r="W974">
        <v>5</v>
      </c>
    </row>
    <row r="975" spans="1:23" x14ac:dyDescent="0.25">
      <c r="A975" s="1" t="s">
        <v>23</v>
      </c>
      <c r="B975" s="1" t="s">
        <v>44</v>
      </c>
      <c r="C975" s="1" t="s">
        <v>25</v>
      </c>
      <c r="D975" s="1" t="s">
        <v>26</v>
      </c>
      <c r="E975" s="1" t="s">
        <v>51</v>
      </c>
      <c r="F975" s="1" t="s">
        <v>52</v>
      </c>
      <c r="G975" s="1" t="s">
        <v>1033</v>
      </c>
      <c r="H975">
        <v>974</v>
      </c>
      <c r="I975" s="1" t="s">
        <v>36</v>
      </c>
      <c r="J975" s="1" t="s">
        <v>41</v>
      </c>
      <c r="K975" s="1" t="s">
        <v>32</v>
      </c>
      <c r="L975" s="1" t="s">
        <v>23</v>
      </c>
      <c r="M975">
        <v>35</v>
      </c>
      <c r="N975">
        <v>35070</v>
      </c>
      <c r="O975">
        <v>2</v>
      </c>
      <c r="P975">
        <v>4</v>
      </c>
      <c r="Q975">
        <v>37</v>
      </c>
      <c r="R975">
        <v>28</v>
      </c>
      <c r="S975">
        <v>5</v>
      </c>
      <c r="T975">
        <v>1</v>
      </c>
      <c r="U975">
        <v>4</v>
      </c>
      <c r="V975">
        <v>13</v>
      </c>
      <c r="W975">
        <v>5</v>
      </c>
    </row>
    <row r="976" spans="1:23" x14ac:dyDescent="0.25">
      <c r="A976" s="1" t="s">
        <v>23</v>
      </c>
      <c r="B976" s="1" t="s">
        <v>44</v>
      </c>
      <c r="C976" s="1" t="s">
        <v>34</v>
      </c>
      <c r="D976" s="1" t="s">
        <v>26</v>
      </c>
      <c r="E976" s="1" t="s">
        <v>40</v>
      </c>
      <c r="F976" s="1" t="s">
        <v>66</v>
      </c>
      <c r="G976" s="1" t="s">
        <v>1034</v>
      </c>
      <c r="H976">
        <v>975</v>
      </c>
      <c r="I976" s="1" t="s">
        <v>30</v>
      </c>
      <c r="J976" s="1" t="s">
        <v>48</v>
      </c>
      <c r="K976" s="1" t="s">
        <v>38</v>
      </c>
      <c r="L976" s="1" t="s">
        <v>23</v>
      </c>
      <c r="M976">
        <v>24</v>
      </c>
      <c r="N976">
        <v>145145</v>
      </c>
      <c r="O976">
        <v>4</v>
      </c>
      <c r="P976">
        <v>3</v>
      </c>
      <c r="Q976">
        <v>15</v>
      </c>
      <c r="R976">
        <v>14</v>
      </c>
      <c r="S976">
        <v>6</v>
      </c>
      <c r="T976">
        <v>2</v>
      </c>
      <c r="U976">
        <v>4</v>
      </c>
      <c r="V976">
        <v>14</v>
      </c>
      <c r="W976">
        <v>2</v>
      </c>
    </row>
    <row r="977" spans="1:23" x14ac:dyDescent="0.25">
      <c r="A977" s="1" t="s">
        <v>23</v>
      </c>
      <c r="B977" s="1" t="s">
        <v>54</v>
      </c>
      <c r="C977" s="1" t="s">
        <v>39</v>
      </c>
      <c r="D977" s="1" t="s">
        <v>26</v>
      </c>
      <c r="E977" s="1" t="s">
        <v>51</v>
      </c>
      <c r="F977" s="1" t="s">
        <v>41</v>
      </c>
      <c r="G977" s="1" t="s">
        <v>1035</v>
      </c>
      <c r="H977">
        <v>976</v>
      </c>
      <c r="I977" s="1" t="s">
        <v>36</v>
      </c>
      <c r="J977" s="1" t="s">
        <v>43</v>
      </c>
      <c r="K977" s="1" t="s">
        <v>32</v>
      </c>
      <c r="L977" s="1" t="s">
        <v>33</v>
      </c>
      <c r="M977">
        <v>60</v>
      </c>
      <c r="N977">
        <v>134934</v>
      </c>
      <c r="O977">
        <v>1</v>
      </c>
      <c r="P977">
        <v>1</v>
      </c>
      <c r="Q977">
        <v>16</v>
      </c>
      <c r="R977">
        <v>10</v>
      </c>
      <c r="S977">
        <v>3</v>
      </c>
      <c r="T977">
        <v>2</v>
      </c>
      <c r="U977">
        <v>3</v>
      </c>
      <c r="V977">
        <v>7</v>
      </c>
      <c r="W977">
        <v>4</v>
      </c>
    </row>
    <row r="978" spans="1:23" x14ac:dyDescent="0.25">
      <c r="A978" s="1" t="s">
        <v>23</v>
      </c>
      <c r="B978" s="1" t="s">
        <v>24</v>
      </c>
      <c r="C978" s="1" t="s">
        <v>39</v>
      </c>
      <c r="D978" s="1" t="s">
        <v>26</v>
      </c>
      <c r="E978" s="1" t="s">
        <v>51</v>
      </c>
      <c r="F978" s="1" t="s">
        <v>66</v>
      </c>
      <c r="G978" s="1" t="s">
        <v>1036</v>
      </c>
      <c r="H978">
        <v>977</v>
      </c>
      <c r="I978" s="1" t="s">
        <v>30</v>
      </c>
      <c r="J978" s="1" t="s">
        <v>41</v>
      </c>
      <c r="K978" s="1" t="s">
        <v>50</v>
      </c>
      <c r="L978" s="1" t="s">
        <v>33</v>
      </c>
      <c r="M978">
        <v>22</v>
      </c>
      <c r="N978">
        <v>86024</v>
      </c>
      <c r="O978">
        <v>1</v>
      </c>
      <c r="P978">
        <v>1</v>
      </c>
      <c r="Q978">
        <v>15</v>
      </c>
      <c r="R978">
        <v>23</v>
      </c>
      <c r="S978">
        <v>5</v>
      </c>
      <c r="T978">
        <v>4</v>
      </c>
      <c r="U978">
        <v>3</v>
      </c>
      <c r="V978">
        <v>29</v>
      </c>
      <c r="W978">
        <v>1</v>
      </c>
    </row>
    <row r="979" spans="1:23" x14ac:dyDescent="0.25">
      <c r="A979" s="1" t="s">
        <v>23</v>
      </c>
      <c r="B979" s="1" t="s">
        <v>54</v>
      </c>
      <c r="C979" s="1" t="s">
        <v>34</v>
      </c>
      <c r="D979" s="1" t="s">
        <v>26</v>
      </c>
      <c r="E979" s="1" t="s">
        <v>60</v>
      </c>
      <c r="F979" s="1" t="s">
        <v>41</v>
      </c>
      <c r="G979" s="1" t="s">
        <v>1037</v>
      </c>
      <c r="H979">
        <v>978</v>
      </c>
      <c r="I979" s="1" t="s">
        <v>36</v>
      </c>
      <c r="J979" s="1" t="s">
        <v>59</v>
      </c>
      <c r="K979" s="1" t="s">
        <v>50</v>
      </c>
      <c r="L979" s="1" t="s">
        <v>33</v>
      </c>
      <c r="M979">
        <v>55</v>
      </c>
      <c r="N979">
        <v>122595</v>
      </c>
      <c r="O979">
        <v>3</v>
      </c>
      <c r="P979">
        <v>3</v>
      </c>
      <c r="Q979">
        <v>34</v>
      </c>
      <c r="R979">
        <v>8</v>
      </c>
      <c r="S979">
        <v>1</v>
      </c>
      <c r="T979">
        <v>1</v>
      </c>
      <c r="U979">
        <v>4</v>
      </c>
      <c r="V979">
        <v>29</v>
      </c>
      <c r="W979">
        <v>3</v>
      </c>
    </row>
    <row r="980" spans="1:23" x14ac:dyDescent="0.25">
      <c r="A980" s="1" t="s">
        <v>23</v>
      </c>
      <c r="B980" s="1" t="s">
        <v>54</v>
      </c>
      <c r="C980" s="1" t="s">
        <v>39</v>
      </c>
      <c r="D980" s="1" t="s">
        <v>26</v>
      </c>
      <c r="E980" s="1" t="s">
        <v>55</v>
      </c>
      <c r="F980" s="1" t="s">
        <v>68</v>
      </c>
      <c r="G980" s="1" t="s">
        <v>1038</v>
      </c>
      <c r="H980">
        <v>979</v>
      </c>
      <c r="I980" s="1" t="s">
        <v>36</v>
      </c>
      <c r="J980" s="1" t="s">
        <v>86</v>
      </c>
      <c r="K980" s="1" t="s">
        <v>50</v>
      </c>
      <c r="L980" s="1" t="s">
        <v>33</v>
      </c>
      <c r="M980">
        <v>24</v>
      </c>
      <c r="N980">
        <v>24735</v>
      </c>
      <c r="O980">
        <v>3</v>
      </c>
      <c r="P980">
        <v>1</v>
      </c>
      <c r="Q980">
        <v>26</v>
      </c>
      <c r="R980">
        <v>30</v>
      </c>
      <c r="S980">
        <v>2</v>
      </c>
      <c r="T980">
        <v>4</v>
      </c>
      <c r="U980">
        <v>3</v>
      </c>
      <c r="V980">
        <v>27</v>
      </c>
      <c r="W980">
        <v>2</v>
      </c>
    </row>
    <row r="981" spans="1:23" x14ac:dyDescent="0.25">
      <c r="A981" s="1" t="s">
        <v>33</v>
      </c>
      <c r="B981" s="1" t="s">
        <v>44</v>
      </c>
      <c r="C981" s="1" t="s">
        <v>34</v>
      </c>
      <c r="D981" s="1" t="s">
        <v>73</v>
      </c>
      <c r="E981" s="1" t="s">
        <v>60</v>
      </c>
      <c r="F981" s="1" t="s">
        <v>41</v>
      </c>
      <c r="G981" s="1" t="s">
        <v>1039</v>
      </c>
      <c r="H981">
        <v>980</v>
      </c>
      <c r="I981" s="1" t="s">
        <v>36</v>
      </c>
      <c r="J981" s="1" t="s">
        <v>31</v>
      </c>
      <c r="K981" s="1" t="s">
        <v>32</v>
      </c>
      <c r="L981" s="1" t="s">
        <v>33</v>
      </c>
      <c r="M981">
        <v>31</v>
      </c>
      <c r="N981">
        <v>151928</v>
      </c>
      <c r="O981">
        <v>4</v>
      </c>
      <c r="P981">
        <v>3</v>
      </c>
      <c r="Q981">
        <v>10</v>
      </c>
      <c r="R981">
        <v>38</v>
      </c>
      <c r="S981">
        <v>5</v>
      </c>
      <c r="T981">
        <v>4</v>
      </c>
      <c r="U981">
        <v>3</v>
      </c>
      <c r="V981">
        <v>15</v>
      </c>
      <c r="W981">
        <v>4</v>
      </c>
    </row>
    <row r="982" spans="1:23" x14ac:dyDescent="0.25">
      <c r="A982" s="1" t="s">
        <v>23</v>
      </c>
      <c r="B982" s="1" t="s">
        <v>54</v>
      </c>
      <c r="C982" s="1" t="s">
        <v>57</v>
      </c>
      <c r="D982" s="1" t="s">
        <v>26</v>
      </c>
      <c r="E982" s="1" t="s">
        <v>40</v>
      </c>
      <c r="F982" s="1" t="s">
        <v>52</v>
      </c>
      <c r="G982" s="1" t="s">
        <v>1040</v>
      </c>
      <c r="H982">
        <v>981</v>
      </c>
      <c r="I982" s="1" t="s">
        <v>30</v>
      </c>
      <c r="J982" s="1" t="s">
        <v>76</v>
      </c>
      <c r="K982" s="1" t="s">
        <v>50</v>
      </c>
      <c r="L982" s="1" t="s">
        <v>23</v>
      </c>
      <c r="M982">
        <v>35</v>
      </c>
      <c r="N982">
        <v>48910</v>
      </c>
      <c r="O982">
        <v>3</v>
      </c>
      <c r="P982">
        <v>1</v>
      </c>
      <c r="Q982">
        <v>37</v>
      </c>
      <c r="R982">
        <v>27</v>
      </c>
      <c r="S982">
        <v>0</v>
      </c>
      <c r="T982">
        <v>3</v>
      </c>
      <c r="U982">
        <v>4</v>
      </c>
      <c r="V982">
        <v>2</v>
      </c>
      <c r="W982">
        <v>4</v>
      </c>
    </row>
    <row r="983" spans="1:23" x14ac:dyDescent="0.25">
      <c r="A983" s="1" t="s">
        <v>33</v>
      </c>
      <c r="B983" s="1" t="s">
        <v>44</v>
      </c>
      <c r="C983" s="1" t="s">
        <v>39</v>
      </c>
      <c r="D983" s="1" t="s">
        <v>73</v>
      </c>
      <c r="E983" s="1" t="s">
        <v>55</v>
      </c>
      <c r="F983" s="1" t="s">
        <v>46</v>
      </c>
      <c r="G983" s="1" t="s">
        <v>1041</v>
      </c>
      <c r="H983">
        <v>982</v>
      </c>
      <c r="I983" s="1" t="s">
        <v>30</v>
      </c>
      <c r="J983" s="1" t="s">
        <v>37</v>
      </c>
      <c r="K983" s="1" t="s">
        <v>32</v>
      </c>
      <c r="L983" s="1" t="s">
        <v>23</v>
      </c>
      <c r="M983">
        <v>43</v>
      </c>
      <c r="N983">
        <v>46051</v>
      </c>
      <c r="O983">
        <v>4</v>
      </c>
      <c r="P983">
        <v>4</v>
      </c>
      <c r="Q983">
        <v>11</v>
      </c>
      <c r="R983">
        <v>18</v>
      </c>
      <c r="S983">
        <v>5</v>
      </c>
      <c r="T983">
        <v>1</v>
      </c>
      <c r="U983">
        <v>4</v>
      </c>
      <c r="V983">
        <v>23</v>
      </c>
      <c r="W983">
        <v>3</v>
      </c>
    </row>
    <row r="984" spans="1:23" x14ac:dyDescent="0.25">
      <c r="A984" s="1" t="s">
        <v>23</v>
      </c>
      <c r="B984" s="1" t="s">
        <v>24</v>
      </c>
      <c r="C984" s="1" t="s">
        <v>34</v>
      </c>
      <c r="D984" s="1" t="s">
        <v>26</v>
      </c>
      <c r="E984" s="1" t="s">
        <v>51</v>
      </c>
      <c r="F984" s="1" t="s">
        <v>52</v>
      </c>
      <c r="G984" s="1" t="s">
        <v>1042</v>
      </c>
      <c r="H984">
        <v>983</v>
      </c>
      <c r="I984" s="1" t="s">
        <v>36</v>
      </c>
      <c r="J984" s="1" t="s">
        <v>43</v>
      </c>
      <c r="K984" s="1" t="s">
        <v>38</v>
      </c>
      <c r="L984" s="1" t="s">
        <v>33</v>
      </c>
      <c r="M984">
        <v>38</v>
      </c>
      <c r="N984">
        <v>136766</v>
      </c>
      <c r="O984">
        <v>3</v>
      </c>
      <c r="P984">
        <v>2</v>
      </c>
      <c r="Q984">
        <v>4</v>
      </c>
      <c r="R984">
        <v>28</v>
      </c>
      <c r="S984">
        <v>0</v>
      </c>
      <c r="T984">
        <v>2</v>
      </c>
      <c r="U984">
        <v>4</v>
      </c>
      <c r="V984">
        <v>4</v>
      </c>
      <c r="W984">
        <v>4</v>
      </c>
    </row>
    <row r="985" spans="1:23" x14ac:dyDescent="0.25">
      <c r="A985" s="1" t="s">
        <v>23</v>
      </c>
      <c r="B985" s="1" t="s">
        <v>54</v>
      </c>
      <c r="C985" s="1" t="s">
        <v>57</v>
      </c>
      <c r="D985" s="1" t="s">
        <v>26</v>
      </c>
      <c r="E985" s="1" t="s">
        <v>27</v>
      </c>
      <c r="F985" s="1" t="s">
        <v>28</v>
      </c>
      <c r="G985" s="1" t="s">
        <v>1043</v>
      </c>
      <c r="H985">
        <v>984</v>
      </c>
      <c r="I985" s="1" t="s">
        <v>36</v>
      </c>
      <c r="J985" s="1" t="s">
        <v>76</v>
      </c>
      <c r="K985" s="1" t="s">
        <v>32</v>
      </c>
      <c r="L985" s="1" t="s">
        <v>33</v>
      </c>
      <c r="M985">
        <v>21</v>
      </c>
      <c r="N985">
        <v>149735</v>
      </c>
      <c r="O985">
        <v>2</v>
      </c>
      <c r="P985">
        <v>3</v>
      </c>
      <c r="Q985">
        <v>34</v>
      </c>
      <c r="R985">
        <v>25</v>
      </c>
      <c r="S985">
        <v>4</v>
      </c>
      <c r="T985">
        <v>2</v>
      </c>
      <c r="U985">
        <v>3</v>
      </c>
      <c r="V985">
        <v>29</v>
      </c>
      <c r="W985">
        <v>4</v>
      </c>
    </row>
    <row r="986" spans="1:23" x14ac:dyDescent="0.25">
      <c r="A986" s="1" t="s">
        <v>23</v>
      </c>
      <c r="B986" s="1" t="s">
        <v>24</v>
      </c>
      <c r="C986" s="1" t="s">
        <v>34</v>
      </c>
      <c r="D986" s="1" t="s">
        <v>26</v>
      </c>
      <c r="E986" s="1" t="s">
        <v>40</v>
      </c>
      <c r="F986" s="1" t="s">
        <v>41</v>
      </c>
      <c r="G986" s="1" t="s">
        <v>1044</v>
      </c>
      <c r="H986">
        <v>985</v>
      </c>
      <c r="I986" s="1" t="s">
        <v>36</v>
      </c>
      <c r="J986" s="1" t="s">
        <v>43</v>
      </c>
      <c r="K986" s="1" t="s">
        <v>32</v>
      </c>
      <c r="L986" s="1" t="s">
        <v>33</v>
      </c>
      <c r="M986">
        <v>48</v>
      </c>
      <c r="N986">
        <v>23781</v>
      </c>
      <c r="O986">
        <v>1</v>
      </c>
      <c r="P986">
        <v>1</v>
      </c>
      <c r="Q986">
        <v>19</v>
      </c>
      <c r="R986">
        <v>4</v>
      </c>
      <c r="S986">
        <v>1</v>
      </c>
      <c r="T986">
        <v>1</v>
      </c>
      <c r="U986">
        <v>3</v>
      </c>
      <c r="V986">
        <v>12</v>
      </c>
      <c r="W986">
        <v>5</v>
      </c>
    </row>
    <row r="987" spans="1:23" x14ac:dyDescent="0.25">
      <c r="A987" s="1" t="s">
        <v>23</v>
      </c>
      <c r="B987" s="1" t="s">
        <v>54</v>
      </c>
      <c r="C987" s="1" t="s">
        <v>34</v>
      </c>
      <c r="D987" s="1" t="s">
        <v>26</v>
      </c>
      <c r="E987" s="1" t="s">
        <v>55</v>
      </c>
      <c r="F987" s="1" t="s">
        <v>68</v>
      </c>
      <c r="G987" s="1" t="s">
        <v>1045</v>
      </c>
      <c r="H987">
        <v>986</v>
      </c>
      <c r="I987" s="1" t="s">
        <v>30</v>
      </c>
      <c r="J987" s="1" t="s">
        <v>48</v>
      </c>
      <c r="K987" s="1" t="s">
        <v>50</v>
      </c>
      <c r="L987" s="1" t="s">
        <v>23</v>
      </c>
      <c r="M987">
        <v>47</v>
      </c>
      <c r="N987">
        <v>18111</v>
      </c>
      <c r="O987">
        <v>3</v>
      </c>
      <c r="P987">
        <v>2</v>
      </c>
      <c r="Q987">
        <v>15</v>
      </c>
      <c r="R987">
        <v>2</v>
      </c>
      <c r="S987">
        <v>2</v>
      </c>
      <c r="T987">
        <v>3</v>
      </c>
      <c r="U987">
        <v>3</v>
      </c>
      <c r="V987">
        <v>13</v>
      </c>
      <c r="W987">
        <v>3</v>
      </c>
    </row>
    <row r="988" spans="1:23" x14ac:dyDescent="0.25">
      <c r="A988" s="1" t="s">
        <v>23</v>
      </c>
      <c r="B988" s="1" t="s">
        <v>44</v>
      </c>
      <c r="C988" s="1" t="s">
        <v>39</v>
      </c>
      <c r="D988" s="1" t="s">
        <v>26</v>
      </c>
      <c r="E988" s="1" t="s">
        <v>55</v>
      </c>
      <c r="F988" s="1" t="s">
        <v>46</v>
      </c>
      <c r="G988" s="1" t="s">
        <v>1046</v>
      </c>
      <c r="H988">
        <v>987</v>
      </c>
      <c r="I988" s="1" t="s">
        <v>36</v>
      </c>
      <c r="J988" s="1" t="s">
        <v>86</v>
      </c>
      <c r="K988" s="1" t="s">
        <v>50</v>
      </c>
      <c r="L988" s="1" t="s">
        <v>23</v>
      </c>
      <c r="M988">
        <v>28</v>
      </c>
      <c r="N988">
        <v>179554</v>
      </c>
      <c r="O988">
        <v>1</v>
      </c>
      <c r="P988">
        <v>4</v>
      </c>
      <c r="Q988">
        <v>20</v>
      </c>
      <c r="R988">
        <v>41</v>
      </c>
      <c r="S988">
        <v>0</v>
      </c>
      <c r="T988">
        <v>2</v>
      </c>
      <c r="U988">
        <v>4</v>
      </c>
      <c r="V988">
        <v>9</v>
      </c>
      <c r="W988">
        <v>1</v>
      </c>
    </row>
    <row r="989" spans="1:23" x14ac:dyDescent="0.25">
      <c r="A989" s="1" t="s">
        <v>23</v>
      </c>
      <c r="B989" s="1" t="s">
        <v>44</v>
      </c>
      <c r="C989" s="1" t="s">
        <v>34</v>
      </c>
      <c r="D989" s="1" t="s">
        <v>26</v>
      </c>
      <c r="E989" s="1" t="s">
        <v>60</v>
      </c>
      <c r="F989" s="1" t="s">
        <v>52</v>
      </c>
      <c r="G989" s="1" t="s">
        <v>1047</v>
      </c>
      <c r="H989">
        <v>988</v>
      </c>
      <c r="I989" s="1" t="s">
        <v>36</v>
      </c>
      <c r="J989" s="1" t="s">
        <v>31</v>
      </c>
      <c r="K989" s="1" t="s">
        <v>32</v>
      </c>
      <c r="L989" s="1" t="s">
        <v>33</v>
      </c>
      <c r="M989">
        <v>37</v>
      </c>
      <c r="N989">
        <v>173856</v>
      </c>
      <c r="O989">
        <v>1</v>
      </c>
      <c r="P989">
        <v>1</v>
      </c>
      <c r="Q989">
        <v>25</v>
      </c>
      <c r="R989">
        <v>29</v>
      </c>
      <c r="S989">
        <v>6</v>
      </c>
      <c r="T989">
        <v>2</v>
      </c>
      <c r="U989">
        <v>3</v>
      </c>
      <c r="V989">
        <v>9</v>
      </c>
      <c r="W989">
        <v>1</v>
      </c>
    </row>
    <row r="990" spans="1:23" x14ac:dyDescent="0.25">
      <c r="A990" s="1" t="s">
        <v>23</v>
      </c>
      <c r="B990" s="1" t="s">
        <v>24</v>
      </c>
      <c r="C990" s="1" t="s">
        <v>34</v>
      </c>
      <c r="D990" s="1" t="s">
        <v>26</v>
      </c>
      <c r="E990" s="1" t="s">
        <v>60</v>
      </c>
      <c r="F990" s="1" t="s">
        <v>46</v>
      </c>
      <c r="G990" s="1" t="s">
        <v>1048</v>
      </c>
      <c r="H990">
        <v>989</v>
      </c>
      <c r="I990" s="1" t="s">
        <v>30</v>
      </c>
      <c r="J990" s="1" t="s">
        <v>41</v>
      </c>
      <c r="K990" s="1" t="s">
        <v>32</v>
      </c>
      <c r="L990" s="1" t="s">
        <v>23</v>
      </c>
      <c r="M990">
        <v>37</v>
      </c>
      <c r="N990">
        <v>161108</v>
      </c>
      <c r="O990">
        <v>4</v>
      </c>
      <c r="P990">
        <v>2</v>
      </c>
      <c r="Q990">
        <v>37</v>
      </c>
      <c r="R990">
        <v>25</v>
      </c>
      <c r="S990">
        <v>5</v>
      </c>
      <c r="T990">
        <v>4</v>
      </c>
      <c r="U990">
        <v>4</v>
      </c>
      <c r="V990">
        <v>30</v>
      </c>
      <c r="W990">
        <v>5</v>
      </c>
    </row>
    <row r="991" spans="1:23" x14ac:dyDescent="0.25">
      <c r="A991" s="1" t="s">
        <v>23</v>
      </c>
      <c r="B991" s="1" t="s">
        <v>44</v>
      </c>
      <c r="C991" s="1" t="s">
        <v>34</v>
      </c>
      <c r="D991" s="1" t="s">
        <v>26</v>
      </c>
      <c r="E991" s="1" t="s">
        <v>60</v>
      </c>
      <c r="F991" s="1" t="s">
        <v>46</v>
      </c>
      <c r="G991" s="1" t="s">
        <v>1049</v>
      </c>
      <c r="H991">
        <v>990</v>
      </c>
      <c r="I991" s="1" t="s">
        <v>36</v>
      </c>
      <c r="J991" s="1" t="s">
        <v>37</v>
      </c>
      <c r="K991" s="1" t="s">
        <v>32</v>
      </c>
      <c r="L991" s="1" t="s">
        <v>33</v>
      </c>
      <c r="M991">
        <v>28</v>
      </c>
      <c r="N991">
        <v>50536</v>
      </c>
      <c r="O991">
        <v>2</v>
      </c>
      <c r="P991">
        <v>2</v>
      </c>
      <c r="Q991">
        <v>3</v>
      </c>
      <c r="R991">
        <v>30</v>
      </c>
      <c r="S991">
        <v>2</v>
      </c>
      <c r="T991">
        <v>2</v>
      </c>
      <c r="U991">
        <v>4</v>
      </c>
      <c r="V991">
        <v>29</v>
      </c>
      <c r="W991">
        <v>1</v>
      </c>
    </row>
    <row r="992" spans="1:23" x14ac:dyDescent="0.25">
      <c r="A992" s="1" t="s">
        <v>23</v>
      </c>
      <c r="B992" s="1" t="s">
        <v>44</v>
      </c>
      <c r="C992" s="1" t="s">
        <v>25</v>
      </c>
      <c r="D992" s="1" t="s">
        <v>26</v>
      </c>
      <c r="E992" s="1" t="s">
        <v>60</v>
      </c>
      <c r="F992" s="1" t="s">
        <v>52</v>
      </c>
      <c r="G992" s="1" t="s">
        <v>1050</v>
      </c>
      <c r="H992">
        <v>991</v>
      </c>
      <c r="I992" s="1" t="s">
        <v>30</v>
      </c>
      <c r="J992" s="1" t="s">
        <v>48</v>
      </c>
      <c r="K992" s="1" t="s">
        <v>32</v>
      </c>
      <c r="L992" s="1" t="s">
        <v>23</v>
      </c>
      <c r="M992">
        <v>34</v>
      </c>
      <c r="N992">
        <v>128427</v>
      </c>
      <c r="O992">
        <v>3</v>
      </c>
      <c r="P992">
        <v>2</v>
      </c>
      <c r="Q992">
        <v>26</v>
      </c>
      <c r="R992">
        <v>41</v>
      </c>
      <c r="S992">
        <v>1</v>
      </c>
      <c r="T992">
        <v>1</v>
      </c>
      <c r="U992">
        <v>4</v>
      </c>
      <c r="V992">
        <v>11</v>
      </c>
      <c r="W992">
        <v>3</v>
      </c>
    </row>
    <row r="993" spans="1:23" x14ac:dyDescent="0.25">
      <c r="A993" s="1" t="s">
        <v>23</v>
      </c>
      <c r="B993" s="1" t="s">
        <v>24</v>
      </c>
      <c r="C993" s="1" t="s">
        <v>34</v>
      </c>
      <c r="D993" s="1" t="s">
        <v>26</v>
      </c>
      <c r="E993" s="1" t="s">
        <v>60</v>
      </c>
      <c r="F993" s="1" t="s">
        <v>66</v>
      </c>
      <c r="G993" s="1" t="s">
        <v>1051</v>
      </c>
      <c r="H993">
        <v>992</v>
      </c>
      <c r="I993" s="1" t="s">
        <v>36</v>
      </c>
      <c r="J993" s="1" t="s">
        <v>70</v>
      </c>
      <c r="K993" s="1" t="s">
        <v>38</v>
      </c>
      <c r="L993" s="1" t="s">
        <v>23</v>
      </c>
      <c r="M993">
        <v>32</v>
      </c>
      <c r="N993">
        <v>30309</v>
      </c>
      <c r="O993">
        <v>3</v>
      </c>
      <c r="P993">
        <v>4</v>
      </c>
      <c r="Q993">
        <v>24</v>
      </c>
      <c r="R993">
        <v>17</v>
      </c>
      <c r="S993">
        <v>6</v>
      </c>
      <c r="T993">
        <v>4</v>
      </c>
      <c r="U993">
        <v>4</v>
      </c>
      <c r="V993">
        <v>16</v>
      </c>
      <c r="W993">
        <v>4</v>
      </c>
    </row>
    <row r="994" spans="1:23" x14ac:dyDescent="0.25">
      <c r="A994" s="1" t="s">
        <v>23</v>
      </c>
      <c r="B994" s="1" t="s">
        <v>24</v>
      </c>
      <c r="C994" s="1" t="s">
        <v>65</v>
      </c>
      <c r="D994" s="1" t="s">
        <v>26</v>
      </c>
      <c r="E994" s="1" t="s">
        <v>27</v>
      </c>
      <c r="F994" s="1" t="s">
        <v>66</v>
      </c>
      <c r="G994" s="1" t="s">
        <v>1052</v>
      </c>
      <c r="H994">
        <v>993</v>
      </c>
      <c r="I994" s="1" t="s">
        <v>36</v>
      </c>
      <c r="J994" s="1" t="s">
        <v>37</v>
      </c>
      <c r="K994" s="1" t="s">
        <v>38</v>
      </c>
      <c r="L994" s="1" t="s">
        <v>23</v>
      </c>
      <c r="M994">
        <v>52</v>
      </c>
      <c r="N994">
        <v>134154</v>
      </c>
      <c r="O994">
        <v>3</v>
      </c>
      <c r="P994">
        <v>1</v>
      </c>
      <c r="Q994">
        <v>36</v>
      </c>
      <c r="R994">
        <v>28</v>
      </c>
      <c r="S994">
        <v>6</v>
      </c>
      <c r="T994">
        <v>3</v>
      </c>
      <c r="U994">
        <v>4</v>
      </c>
      <c r="V994">
        <v>8</v>
      </c>
      <c r="W994">
        <v>2</v>
      </c>
    </row>
    <row r="995" spans="1:23" x14ac:dyDescent="0.25">
      <c r="A995" s="1" t="s">
        <v>23</v>
      </c>
      <c r="B995" s="1" t="s">
        <v>44</v>
      </c>
      <c r="C995" s="1" t="s">
        <v>65</v>
      </c>
      <c r="D995" s="1" t="s">
        <v>26</v>
      </c>
      <c r="E995" s="1" t="s">
        <v>60</v>
      </c>
      <c r="F995" s="1" t="s">
        <v>28</v>
      </c>
      <c r="G995" s="1" t="s">
        <v>1053</v>
      </c>
      <c r="H995">
        <v>994</v>
      </c>
      <c r="I995" s="1" t="s">
        <v>30</v>
      </c>
      <c r="J995" s="1" t="s">
        <v>37</v>
      </c>
      <c r="K995" s="1" t="s">
        <v>38</v>
      </c>
      <c r="L995" s="1" t="s">
        <v>23</v>
      </c>
      <c r="M995">
        <v>45</v>
      </c>
      <c r="N995">
        <v>52290</v>
      </c>
      <c r="O995">
        <v>2</v>
      </c>
      <c r="P995">
        <v>4</v>
      </c>
      <c r="Q995">
        <v>21</v>
      </c>
      <c r="R995">
        <v>18</v>
      </c>
      <c r="S995">
        <v>0</v>
      </c>
      <c r="T995">
        <v>1</v>
      </c>
      <c r="U995">
        <v>4</v>
      </c>
      <c r="V995">
        <v>21</v>
      </c>
      <c r="W995">
        <v>3</v>
      </c>
    </row>
    <row r="996" spans="1:23" x14ac:dyDescent="0.25">
      <c r="A996" s="1" t="s">
        <v>23</v>
      </c>
      <c r="B996" s="1" t="s">
        <v>24</v>
      </c>
      <c r="C996" s="1" t="s">
        <v>34</v>
      </c>
      <c r="D996" s="1" t="s">
        <v>26</v>
      </c>
      <c r="E996" s="1" t="s">
        <v>60</v>
      </c>
      <c r="F996" s="1" t="s">
        <v>52</v>
      </c>
      <c r="G996" s="1" t="s">
        <v>1054</v>
      </c>
      <c r="H996">
        <v>995</v>
      </c>
      <c r="I996" s="1" t="s">
        <v>36</v>
      </c>
      <c r="J996" s="1" t="s">
        <v>70</v>
      </c>
      <c r="K996" s="1" t="s">
        <v>50</v>
      </c>
      <c r="L996" s="1" t="s">
        <v>33</v>
      </c>
      <c r="M996">
        <v>32</v>
      </c>
      <c r="N996">
        <v>57886</v>
      </c>
      <c r="O996">
        <v>3</v>
      </c>
      <c r="P996">
        <v>2</v>
      </c>
      <c r="Q996">
        <v>28</v>
      </c>
      <c r="R996">
        <v>27</v>
      </c>
      <c r="S996">
        <v>3</v>
      </c>
      <c r="T996">
        <v>4</v>
      </c>
      <c r="U996">
        <v>4</v>
      </c>
      <c r="V996">
        <v>13</v>
      </c>
      <c r="W996">
        <v>2</v>
      </c>
    </row>
    <row r="997" spans="1:23" x14ac:dyDescent="0.25">
      <c r="A997" s="1" t="s">
        <v>23</v>
      </c>
      <c r="B997" s="1" t="s">
        <v>24</v>
      </c>
      <c r="C997" s="1" t="s">
        <v>39</v>
      </c>
      <c r="D997" s="1" t="s">
        <v>26</v>
      </c>
      <c r="E997" s="1" t="s">
        <v>40</v>
      </c>
      <c r="F997" s="1" t="s">
        <v>66</v>
      </c>
      <c r="G997" s="1" t="s">
        <v>1055</v>
      </c>
      <c r="H997">
        <v>996</v>
      </c>
      <c r="I997" s="1" t="s">
        <v>30</v>
      </c>
      <c r="J997" s="1" t="s">
        <v>70</v>
      </c>
      <c r="K997" s="1" t="s">
        <v>38</v>
      </c>
      <c r="L997" s="1" t="s">
        <v>33</v>
      </c>
      <c r="M997">
        <v>26</v>
      </c>
      <c r="N997">
        <v>115651</v>
      </c>
      <c r="O997">
        <v>3</v>
      </c>
      <c r="P997">
        <v>4</v>
      </c>
      <c r="Q997">
        <v>3</v>
      </c>
      <c r="R997">
        <v>0</v>
      </c>
      <c r="S997">
        <v>6</v>
      </c>
      <c r="T997">
        <v>1</v>
      </c>
      <c r="U997">
        <v>3</v>
      </c>
      <c r="V997">
        <v>16</v>
      </c>
      <c r="W997">
        <v>5</v>
      </c>
    </row>
    <row r="998" spans="1:23" x14ac:dyDescent="0.25">
      <c r="A998" s="1" t="s">
        <v>23</v>
      </c>
      <c r="B998" s="1" t="s">
        <v>44</v>
      </c>
      <c r="C998" s="1" t="s">
        <v>34</v>
      </c>
      <c r="D998" s="1" t="s">
        <v>26</v>
      </c>
      <c r="E998" s="1" t="s">
        <v>46</v>
      </c>
      <c r="F998" s="1" t="s">
        <v>41</v>
      </c>
      <c r="G998" s="1" t="s">
        <v>1056</v>
      </c>
      <c r="H998">
        <v>997</v>
      </c>
      <c r="I998" s="1" t="s">
        <v>30</v>
      </c>
      <c r="J998" s="1" t="s">
        <v>48</v>
      </c>
      <c r="K998" s="1" t="s">
        <v>50</v>
      </c>
      <c r="L998" s="1" t="s">
        <v>33</v>
      </c>
      <c r="M998">
        <v>57</v>
      </c>
      <c r="N998">
        <v>174113</v>
      </c>
      <c r="O998">
        <v>3</v>
      </c>
      <c r="P998">
        <v>4</v>
      </c>
      <c r="Q998">
        <v>0</v>
      </c>
      <c r="R998">
        <v>17</v>
      </c>
      <c r="S998">
        <v>3</v>
      </c>
      <c r="T998">
        <v>2</v>
      </c>
      <c r="U998">
        <v>4</v>
      </c>
      <c r="V998">
        <v>26</v>
      </c>
      <c r="W998">
        <v>3</v>
      </c>
    </row>
    <row r="999" spans="1:23" x14ac:dyDescent="0.25">
      <c r="A999" s="1" t="s">
        <v>33</v>
      </c>
      <c r="B999" s="1" t="s">
        <v>24</v>
      </c>
      <c r="C999" s="1" t="s">
        <v>39</v>
      </c>
      <c r="D999" s="1" t="s">
        <v>73</v>
      </c>
      <c r="E999" s="1" t="s">
        <v>40</v>
      </c>
      <c r="F999" s="1" t="s">
        <v>28</v>
      </c>
      <c r="G999" s="1" t="s">
        <v>1057</v>
      </c>
      <c r="H999">
        <v>998</v>
      </c>
      <c r="I999" s="1" t="s">
        <v>30</v>
      </c>
      <c r="J999" s="1" t="s">
        <v>70</v>
      </c>
      <c r="K999" s="1" t="s">
        <v>50</v>
      </c>
      <c r="L999" s="1" t="s">
        <v>33</v>
      </c>
      <c r="M999">
        <v>54</v>
      </c>
      <c r="N999">
        <v>83858</v>
      </c>
      <c r="O999">
        <v>2</v>
      </c>
      <c r="P999">
        <v>4</v>
      </c>
      <c r="Q999">
        <v>21</v>
      </c>
      <c r="R999">
        <v>14</v>
      </c>
      <c r="S999">
        <v>3</v>
      </c>
      <c r="T999">
        <v>3</v>
      </c>
      <c r="U999">
        <v>4</v>
      </c>
      <c r="V999">
        <v>28</v>
      </c>
      <c r="W999">
        <v>5</v>
      </c>
    </row>
    <row r="1000" spans="1:23" x14ac:dyDescent="0.25">
      <c r="A1000" s="1" t="s">
        <v>23</v>
      </c>
      <c r="B1000" s="1" t="s">
        <v>24</v>
      </c>
      <c r="C1000" s="1" t="s">
        <v>39</v>
      </c>
      <c r="D1000" s="1" t="s">
        <v>26</v>
      </c>
      <c r="E1000" s="1" t="s">
        <v>46</v>
      </c>
      <c r="F1000" s="1" t="s">
        <v>46</v>
      </c>
      <c r="G1000" s="1" t="s">
        <v>1058</v>
      </c>
      <c r="H1000">
        <v>999</v>
      </c>
      <c r="I1000" s="1" t="s">
        <v>36</v>
      </c>
      <c r="J1000" s="1" t="s">
        <v>59</v>
      </c>
      <c r="K1000" s="1" t="s">
        <v>50</v>
      </c>
      <c r="L1000" s="1" t="s">
        <v>23</v>
      </c>
      <c r="M1000">
        <v>29</v>
      </c>
      <c r="N1000">
        <v>50350</v>
      </c>
      <c r="O1000">
        <v>2</v>
      </c>
      <c r="P1000">
        <v>3</v>
      </c>
      <c r="Q1000">
        <v>16</v>
      </c>
      <c r="R1000">
        <v>23</v>
      </c>
      <c r="S1000">
        <v>6</v>
      </c>
      <c r="T1000">
        <v>3</v>
      </c>
      <c r="U1000">
        <v>3</v>
      </c>
      <c r="V1000">
        <v>2</v>
      </c>
      <c r="W1000">
        <v>4</v>
      </c>
    </row>
    <row r="1001" spans="1:23" x14ac:dyDescent="0.25">
      <c r="A1001" s="1" t="s">
        <v>23</v>
      </c>
      <c r="B1001" s="1" t="s">
        <v>54</v>
      </c>
      <c r="C1001" s="1" t="s">
        <v>39</v>
      </c>
      <c r="D1001" s="1" t="s">
        <v>26</v>
      </c>
      <c r="E1001" s="1" t="s">
        <v>27</v>
      </c>
      <c r="F1001" s="1" t="s">
        <v>68</v>
      </c>
      <c r="G1001" s="1" t="s">
        <v>1059</v>
      </c>
      <c r="H1001">
        <v>1000</v>
      </c>
      <c r="I1001" s="1" t="s">
        <v>36</v>
      </c>
      <c r="J1001" s="1" t="s">
        <v>70</v>
      </c>
      <c r="K1001" s="1" t="s">
        <v>50</v>
      </c>
      <c r="L1001" s="1" t="s">
        <v>33</v>
      </c>
      <c r="M1001">
        <v>28</v>
      </c>
      <c r="N1001">
        <v>54685</v>
      </c>
      <c r="O1001">
        <v>2</v>
      </c>
      <c r="P1001">
        <v>2</v>
      </c>
      <c r="Q1001">
        <v>28</v>
      </c>
      <c r="R1001">
        <v>18</v>
      </c>
      <c r="S1001">
        <v>6</v>
      </c>
      <c r="T1001">
        <v>4</v>
      </c>
      <c r="U1001">
        <v>3</v>
      </c>
      <c r="V1001">
        <v>15</v>
      </c>
      <c r="W1001">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K35"/>
  <sheetViews>
    <sheetView showGridLines="0" tabSelected="1" topLeftCell="A2" zoomScale="77" zoomScaleNormal="77" workbookViewId="0">
      <selection activeCell="V24" sqref="V24"/>
    </sheetView>
  </sheetViews>
  <sheetFormatPr defaultRowHeight="15" x14ac:dyDescent="0.25"/>
  <cols>
    <col min="1" max="16384" width="9.140625" style="4"/>
  </cols>
  <sheetData>
    <row r="35" spans="11:11" x14ac:dyDescent="0.25">
      <c r="K3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E20144-95EF-4495-8A32-6D347A7282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RATING </vt:lpstr>
      <vt:lpstr>gender </vt:lpstr>
      <vt:lpstr>EDUCATION BY ATTRITION </vt:lpstr>
      <vt:lpstr>ATTRITION BY JOB </vt:lpstr>
      <vt:lpstr>DEPARTMENT WISE ATTRITION</vt:lpstr>
      <vt:lpstr>ATTRITION BY AGE GROUP</vt:lpstr>
      <vt:lpstr>HR DATA PROJECT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2026-07-02T20:33:19Z</dcterms:created>
  <dcterms:modified xsi:type="dcterms:W3CDTF">2026-07-06T20:41:03Z</dcterms:modified>
</cp:coreProperties>
</file>